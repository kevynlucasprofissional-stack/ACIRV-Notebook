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phaelvalongo/Google Drive/ACIRV/Comunicacao - ACIRV/"/>
    </mc:Choice>
  </mc:AlternateContent>
  <xr:revisionPtr revIDLastSave="0" documentId="13_ncr:1_{0590C149-75C2-E342-8F3B-63278E8166C8}" xr6:coauthVersionLast="45" xr6:coauthVersionMax="45" xr10:uidLastSave="{00000000-0000-0000-0000-000000000000}"/>
  <bookViews>
    <workbookView xWindow="-31780" yWindow="-3920" windowWidth="27600" windowHeight="17460" xr2:uid="{3531A8B1-5013-4FDA-A759-584F732DE7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1" l="1"/>
  <c r="D30" i="1"/>
  <c r="D31" i="1"/>
  <c r="D32" i="1"/>
  <c r="D33" i="1"/>
  <c r="D34" i="1"/>
  <c r="D29" i="1"/>
  <c r="D5" i="1"/>
  <c r="D6" i="1"/>
  <c r="D7" i="1"/>
  <c r="D8" i="1"/>
  <c r="D9" i="1"/>
  <c r="D10" i="1"/>
  <c r="D4" i="1"/>
  <c r="C35" i="1"/>
  <c r="C11" i="1"/>
  <c r="D11" i="1" l="1"/>
</calcChain>
</file>

<file path=xl/sharedStrings.xml><?xml version="1.0" encoding="utf-8"?>
<sst xmlns="http://schemas.openxmlformats.org/spreadsheetml/2006/main" count="21" uniqueCount="17">
  <si>
    <t>EMPRESAS</t>
  </si>
  <si>
    <t>SEGMENTOS</t>
  </si>
  <si>
    <t>INDUSTRIA</t>
  </si>
  <si>
    <t>COMERCIO</t>
  </si>
  <si>
    <t>SERVIÇOS</t>
  </si>
  <si>
    <t>COOPERATIVAS</t>
  </si>
  <si>
    <t>SINDICATOS</t>
  </si>
  <si>
    <t>ASSOCIAÇOES</t>
  </si>
  <si>
    <t>OUTROS</t>
  </si>
  <si>
    <t>MEI</t>
  </si>
  <si>
    <t>ME</t>
  </si>
  <si>
    <t>EPP</t>
  </si>
  <si>
    <t>MÉDIO PORTE</t>
  </si>
  <si>
    <t>GRANDE PORTE</t>
  </si>
  <si>
    <t>SETOR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</si>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</sst>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3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3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Planilha1!$C$3</c:f>
              <c:strCache>
                <c:ptCount val="1"/>
                <c:pt idx="0">
                  <c:v>SEGMENTOS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25F-9545-8BE5-5E88337554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25F-9545-8BE5-5E88337554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25F-9545-8BE5-5E88337554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25F-9545-8BE5-5E88337554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25F-9545-8BE5-5E88337554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25F-9545-8BE5-5E88337554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25F-9545-8BE5-5E883375540D}"/>
              </c:ext>
            </c:extLst>
          </c:dPt>
          <c:dLbls>
            <c:dLbl>
              <c:idx val="0"/>
              <c:layout>
                <c:manualLayout>
                  <c:x val="0.14602654462871001"/>
                  <c:y val="4.752923480585912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114764553354353"/>
                      <c:h val="0.1165675968848064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25F-9545-8BE5-5E883375540D}"/>
                </c:ext>
              </c:extLst>
            </c:dLbl>
            <c:dLbl>
              <c:idx val="3"/>
              <c:layout>
                <c:manualLayout>
                  <c:x val="-0.26024145420258171"/>
                  <c:y val="-8.490435302978573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5F-9545-8BE5-5E883375540D}"/>
                </c:ext>
              </c:extLst>
            </c:dLbl>
            <c:dLbl>
              <c:idx val="4"/>
              <c:layout>
                <c:manualLayout>
                  <c:x val="-0.26598143645835637"/>
                  <c:y val="0.1128855165995031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25F-9545-8BE5-5E883375540D}"/>
                </c:ext>
              </c:extLst>
            </c:dLbl>
            <c:dLbl>
              <c:idx val="5"/>
              <c:layout>
                <c:manualLayout>
                  <c:x val="-0.12873927508050131"/>
                  <c:y val="-4.116857619980056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25F-9545-8BE5-5E883375540D}"/>
                </c:ext>
              </c:extLst>
            </c:dLbl>
            <c:dLbl>
              <c:idx val="6"/>
              <c:layout>
                <c:manualLayout>
                  <c:x val="0.17383428602379061"/>
                  <c:y val="-3.199259834594940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25F-9545-8BE5-5E88337554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Planilha1!$B$4:$B$10</c:f>
              <c:strCache>
                <c:ptCount val="7"/>
                <c:pt idx="0">
                  <c:v>INDUSTRIA</c:v>
                </c:pt>
                <c:pt idx="1">
                  <c:v>COMERCIO</c:v>
                </c:pt>
                <c:pt idx="2">
                  <c:v>SERVIÇOS</c:v>
                </c:pt>
                <c:pt idx="3">
                  <c:v>COOPERATIVAS</c:v>
                </c:pt>
                <c:pt idx="4">
                  <c:v>SINDICATOS</c:v>
                </c:pt>
                <c:pt idx="5">
                  <c:v>ASSOCIAÇOES</c:v>
                </c:pt>
                <c:pt idx="6">
                  <c:v>OUTROS</c:v>
                </c:pt>
              </c:strCache>
            </c:strRef>
          </c:cat>
          <c:val>
            <c:numRef>
              <c:f>Planilha1!$C$4:$C$10</c:f>
              <c:numCache>
                <c:formatCode>General</c:formatCode>
                <c:ptCount val="7"/>
                <c:pt idx="0">
                  <c:v>17</c:v>
                </c:pt>
                <c:pt idx="1">
                  <c:v>175</c:v>
                </c:pt>
                <c:pt idx="2">
                  <c:v>183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8-478A-ABC2-4BE1C919092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Planilha1!$C$28</c:f>
              <c:strCache>
                <c:ptCount val="1"/>
                <c:pt idx="0">
                  <c:v>SETOR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F73-9B4E-BABC-661AFAADDF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F73-9B4E-BABC-661AFAADDF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F73-9B4E-BABC-661AFAADDF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F73-9B4E-BABC-661AFAADDF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F73-9B4E-BABC-661AFAADDF5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F73-9B4E-BABC-661AFAADDF59}"/>
              </c:ext>
            </c:extLst>
          </c:dPt>
          <c:dLbls>
            <c:dLbl>
              <c:idx val="0"/>
              <c:layout>
                <c:manualLayout>
                  <c:x val="0.10430165632724003"/>
                  <c:y val="1.449530525963595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73-9B4E-BABC-661AFAADDF59}"/>
                </c:ext>
              </c:extLst>
            </c:dLbl>
            <c:dLbl>
              <c:idx val="3"/>
              <c:layout>
                <c:manualLayout>
                  <c:x val="-1.8948677703299315E-2"/>
                  <c:y val="2.417263002190944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73-9B4E-BABC-661AFAADDF59}"/>
                </c:ext>
              </c:extLst>
            </c:dLbl>
            <c:dLbl>
              <c:idx val="4"/>
              <c:layout>
                <c:manualLayout>
                  <c:x val="-7.2749742578563745E-2"/>
                  <c:y val="-2.712765698266496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F73-9B4E-BABC-661AFAADDF59}"/>
                </c:ext>
              </c:extLst>
            </c:dLbl>
            <c:dLbl>
              <c:idx val="5"/>
              <c:layout>
                <c:manualLayout>
                  <c:x val="0.12511575754877871"/>
                  <c:y val="-2.374900314931727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F73-9B4E-BABC-661AFAADDF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Planilha1!$B$29:$B$34</c:f>
              <c:strCache>
                <c:ptCount val="6"/>
                <c:pt idx="0">
                  <c:v>MEI</c:v>
                </c:pt>
                <c:pt idx="1">
                  <c:v>ME</c:v>
                </c:pt>
                <c:pt idx="2">
                  <c:v>EPP</c:v>
                </c:pt>
                <c:pt idx="3">
                  <c:v>MÉDIO PORTE</c:v>
                </c:pt>
                <c:pt idx="4">
                  <c:v>GRANDE PORTE</c:v>
                </c:pt>
                <c:pt idx="5">
                  <c:v>OUTROS</c:v>
                </c:pt>
              </c:strCache>
            </c:strRef>
          </c:cat>
          <c:val>
            <c:numRef>
              <c:f>Planilha1!$C$29:$C$34</c:f>
              <c:numCache>
                <c:formatCode>General</c:formatCode>
                <c:ptCount val="6"/>
                <c:pt idx="0">
                  <c:v>33</c:v>
                </c:pt>
                <c:pt idx="1">
                  <c:v>199</c:v>
                </c:pt>
                <c:pt idx="2">
                  <c:v>81</c:v>
                </c:pt>
                <c:pt idx="3">
                  <c:v>62</c:v>
                </c:pt>
                <c:pt idx="4">
                  <c:v>10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4-4233-8F38-5181F38F6527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279400</xdr:colOff>
      <xdr:row>5</xdr:row>
      <xdr:rowOff>58737</xdr:rowOff>
    </xdr:from>
    <xdr:to>
      <xdr:col>16</xdr:col>
      <xdr:colOff>120650</xdr:colOff>
      <xdr:row>19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48AA9F-19BD-474B-8609-428C716E0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481825</xdr:colOff>
      <xdr:row>21</xdr:row>
      <xdr:rowOff>164557</xdr:rowOff>
    </xdr:from>
    <xdr:to>
      <xdr:col>12</xdr:col>
      <xdr:colOff>570494</xdr:colOff>
      <xdr:row>37</xdr:row>
      <xdr:rowOff>58233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6CA2F1-3D2F-46DC-9B40-B2AC95288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A6D4-F4D9-4E6D-BBC9-8B38EEDAF797}">
  <dimension ref="B3:D36"/>
  <sheetViews>
    <sheetView tabSelected="1" topLeftCell="A19" zoomScale="130" zoomScaleNormal="130" workbookViewId="0">
      <selection activeCell="D44" sqref="D44"/>
    </sheetView>
  </sheetViews>
  <sheetFormatPr baseColWidth="10" defaultColWidth="8.83203125" defaultRowHeight="15" x14ac:dyDescent="0.2"/>
  <cols>
    <col min="2" max="2" width="12.6640625" bestFit="1" customWidth="1"/>
    <col min="3" max="3" width="10.33203125" bestFit="1" customWidth="1"/>
    <col min="4" max="4" width="10.6640625" bestFit="1" customWidth="1"/>
  </cols>
  <sheetData>
    <row r="3" spans="2:4" x14ac:dyDescent="0.2">
      <c r="B3" s="3" t="s">
        <v>0</v>
      </c>
      <c r="C3" s="4" t="s">
        <v>1</v>
      </c>
      <c r="D3" s="4" t="s">
        <v>16</v>
      </c>
    </row>
    <row r="4" spans="2:4" ht="16" x14ac:dyDescent="0.2">
      <c r="B4" s="1" t="s">
        <v>2</v>
      </c>
      <c r="C4" s="5">
        <v>17</v>
      </c>
      <c r="D4" s="6">
        <f>C4/($C$11/100)</f>
        <v>4.4041450777202078</v>
      </c>
    </row>
    <row r="5" spans="2:4" ht="16" x14ac:dyDescent="0.2">
      <c r="B5" s="1" t="s">
        <v>3</v>
      </c>
      <c r="C5" s="5">
        <v>175</v>
      </c>
      <c r="D5" s="6">
        <f t="shared" ref="D5:D10" si="0">C5/($C$11/100)</f>
        <v>45.336787564766844</v>
      </c>
    </row>
    <row r="6" spans="2:4" ht="16" x14ac:dyDescent="0.2">
      <c r="B6" s="1" t="s">
        <v>4</v>
      </c>
      <c r="C6" s="5">
        <v>183</v>
      </c>
      <c r="D6" s="6">
        <f t="shared" si="0"/>
        <v>47.409326424870471</v>
      </c>
    </row>
    <row r="7" spans="2:4" ht="16" x14ac:dyDescent="0.2">
      <c r="B7" s="1" t="s">
        <v>5</v>
      </c>
      <c r="C7" s="5">
        <v>5</v>
      </c>
      <c r="D7" s="6">
        <f t="shared" si="0"/>
        <v>1.2953367875647668</v>
      </c>
    </row>
    <row r="8" spans="2:4" ht="16" x14ac:dyDescent="0.2">
      <c r="B8" s="1" t="s">
        <v>6</v>
      </c>
      <c r="C8" s="5">
        <v>1</v>
      </c>
      <c r="D8" s="6">
        <f t="shared" si="0"/>
        <v>0.2590673575129534</v>
      </c>
    </row>
    <row r="9" spans="2:4" ht="16" x14ac:dyDescent="0.2">
      <c r="B9" s="1" t="s">
        <v>7</v>
      </c>
      <c r="C9" s="5">
        <v>3</v>
      </c>
      <c r="D9" s="6">
        <f t="shared" si="0"/>
        <v>0.77720207253886009</v>
      </c>
    </row>
    <row r="10" spans="2:4" ht="16" x14ac:dyDescent="0.2">
      <c r="B10" s="1" t="s">
        <v>8</v>
      </c>
      <c r="C10" s="5">
        <v>2</v>
      </c>
      <c r="D10" s="6">
        <f t="shared" si="0"/>
        <v>0.5181347150259068</v>
      </c>
    </row>
    <row r="11" spans="2:4" x14ac:dyDescent="0.2">
      <c r="B11" s="1" t="s">
        <v>15</v>
      </c>
      <c r="C11" s="5">
        <f>SUM(C4:C10)</f>
        <v>386</v>
      </c>
      <c r="D11" s="5">
        <f>SUM(D4:D10)</f>
        <v>100</v>
      </c>
    </row>
    <row r="28" spans="2:4" x14ac:dyDescent="0.2">
      <c r="B28" s="2" t="s">
        <v>0</v>
      </c>
      <c r="C28" s="2" t="s">
        <v>14</v>
      </c>
      <c r="D28" s="2" t="s">
        <v>16</v>
      </c>
    </row>
    <row r="29" spans="2:4" ht="16" x14ac:dyDescent="0.2">
      <c r="B29" s="1" t="s">
        <v>9</v>
      </c>
      <c r="C29" s="1">
        <v>33</v>
      </c>
      <c r="D29" s="6">
        <f>C29/($C$35/100)</f>
        <v>8.5492227979274613</v>
      </c>
    </row>
    <row r="30" spans="2:4" ht="16" x14ac:dyDescent="0.2">
      <c r="B30" s="1" t="s">
        <v>10</v>
      </c>
      <c r="C30" s="1">
        <v>199</v>
      </c>
      <c r="D30" s="6">
        <f t="shared" ref="D30:D34" si="1">C30/($C$35/100)</f>
        <v>51.554404145077719</v>
      </c>
    </row>
    <row r="31" spans="2:4" ht="16" x14ac:dyDescent="0.2">
      <c r="B31" s="1" t="s">
        <v>11</v>
      </c>
      <c r="C31" s="1">
        <v>81</v>
      </c>
      <c r="D31" s="6">
        <f t="shared" si="1"/>
        <v>20.984455958549223</v>
      </c>
    </row>
    <row r="32" spans="2:4" ht="16" x14ac:dyDescent="0.2">
      <c r="B32" s="1" t="s">
        <v>12</v>
      </c>
      <c r="C32" s="1">
        <v>62</v>
      </c>
      <c r="D32" s="6">
        <f t="shared" si="1"/>
        <v>16.062176165803109</v>
      </c>
    </row>
    <row r="33" spans="2:4" ht="16" x14ac:dyDescent="0.2">
      <c r="B33" s="1" t="s">
        <v>13</v>
      </c>
      <c r="C33" s="1">
        <v>10</v>
      </c>
      <c r="D33" s="6">
        <f t="shared" si="1"/>
        <v>2.5906735751295336</v>
      </c>
    </row>
    <row r="34" spans="2:4" ht="16" x14ac:dyDescent="0.2">
      <c r="B34" s="1" t="s">
        <v>8</v>
      </c>
      <c r="C34" s="1">
        <v>1</v>
      </c>
      <c r="D34" s="6">
        <f t="shared" si="1"/>
        <v>0.2590673575129534</v>
      </c>
    </row>
    <row r="35" spans="2:4" x14ac:dyDescent="0.2">
      <c r="B35" s="1" t="s">
        <v>15</v>
      </c>
      <c r="C35" s="5">
        <f>SUM(C28:C34)</f>
        <v>386</v>
      </c>
      <c r="D35" s="5">
        <f>SUM(D28:D34)</f>
        <v>99.999999999999986</v>
      </c>
    </row>
    <row r="36" spans="2:4" x14ac:dyDescent="0.2">
      <c r="D36" s="5"/>
    </row>
  </sheetData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Valongo CPC Valongo</cp:lastModifiedBy>
  <cp:lastPrinted>2021-01-29T17:20:19Z</cp:lastPrinted>
  <dcterms:created xsi:type="dcterms:W3CDTF">2021-01-29T15:08:30Z</dcterms:created>
  <dcterms:modified xsi:type="dcterms:W3CDTF">2021-02-05T20:26:42Z</dcterms:modified>
</cp:coreProperties>
</file>