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o" sheetId="1" r:id="rId4"/>
    <sheet state="visible" name="telefones" sheetId="2" r:id="rId5"/>
    <sheet state="visible" name="ultima hora" sheetId="3" r:id="rId6"/>
  </sheets>
  <definedNames/>
  <calcPr/>
</workbook>
</file>

<file path=xl/sharedStrings.xml><?xml version="1.0" encoding="utf-8"?>
<sst xmlns="http://schemas.openxmlformats.org/spreadsheetml/2006/main" count="403" uniqueCount="308">
  <si>
    <t>DIRETORIA BIÊNIO 2013 / 2015</t>
  </si>
  <si>
    <t xml:space="preserve"> </t>
  </si>
  <si>
    <t>Presidente:</t>
  </si>
  <si>
    <t>Dejane Mara Maffissoni</t>
  </si>
  <si>
    <t>Marciano Leão Maffissoni</t>
  </si>
  <si>
    <t>R. Rui Barbosa, 1049 - Centro</t>
  </si>
  <si>
    <t>3621-4362</t>
  </si>
  <si>
    <t>9644-2075 9236-3068</t>
  </si>
  <si>
    <t xml:space="preserve">Vice-Presidentes: </t>
  </si>
  <si>
    <t>Comércio</t>
  </si>
  <si>
    <t>Ivo Marques deMoraes Jr.</t>
  </si>
  <si>
    <t>Conquista Supermercados</t>
  </si>
  <si>
    <t>R.Quinca Honério Leão, 1030 "B"</t>
  </si>
  <si>
    <t>3620-1000</t>
  </si>
  <si>
    <t>9226-2160</t>
  </si>
  <si>
    <t>Indústria</t>
  </si>
  <si>
    <t>Adriano Jajah Baraúna</t>
  </si>
  <si>
    <t>Cereal</t>
  </si>
  <si>
    <t>R. Joaquim Mota, 409-Apto302-B.Sto Antonio</t>
  </si>
  <si>
    <t>3611-8400</t>
  </si>
  <si>
    <t>9217-0184</t>
  </si>
  <si>
    <t>Prestação de Serviços</t>
  </si>
  <si>
    <t>Jacqueline Freitas Nascimento Zaiden</t>
  </si>
  <si>
    <t>Localiza Rent Car</t>
  </si>
  <si>
    <t>R.02 nº324 - Paque dos Buritis</t>
  </si>
  <si>
    <t>3613-1002</t>
  </si>
  <si>
    <t>8117-6112</t>
  </si>
  <si>
    <t>Patrimônio</t>
  </si>
  <si>
    <t>Nivaldo Izaac Horbilon</t>
  </si>
  <si>
    <t>Center Flex</t>
  </si>
  <si>
    <t>Rua 12 Qd 9-Lt-16 -Pq.Buritis</t>
  </si>
  <si>
    <t>3623-6904</t>
  </si>
  <si>
    <t>8128-4467</t>
  </si>
  <si>
    <t>Micro e Peq. Empresa</t>
  </si>
  <si>
    <t>Manoel Divino da Silva</t>
  </si>
  <si>
    <t>Encanto Presente</t>
  </si>
  <si>
    <t>Av. Presidente Vargas, 660 - centro</t>
  </si>
  <si>
    <t>3621-0449</t>
  </si>
  <si>
    <t>8115-5933</t>
  </si>
  <si>
    <t xml:space="preserve">Agronegócios </t>
  </si>
  <si>
    <t>Cássio Bellintani Iplinsky</t>
  </si>
  <si>
    <t>DECAL</t>
  </si>
  <si>
    <t>Rua 11, nº 100 - Solar Agreste II - 9282-9576</t>
  </si>
  <si>
    <t>2104-9000</t>
  </si>
  <si>
    <t>9987-1660</t>
  </si>
  <si>
    <t>Diretores Administrativos:</t>
  </si>
  <si>
    <t>Alexandro Silva de Oliveira</t>
  </si>
  <si>
    <t>BRF</t>
  </si>
  <si>
    <t>R. RC 07, Qd 05 Lt 05 Res. Canaã</t>
  </si>
  <si>
    <t>3620-5008</t>
  </si>
  <si>
    <t>8123-0071</t>
  </si>
  <si>
    <t>Aguilar Ferreira Motta</t>
  </si>
  <si>
    <t>Comigo</t>
  </si>
  <si>
    <t>R.Laudemiro Bueno 131-apto. 7-Ed.Hibisco</t>
  </si>
  <si>
    <t>3611-1543</t>
  </si>
  <si>
    <t>9987-1346</t>
  </si>
  <si>
    <t>Diretores Financeiros:</t>
  </si>
  <si>
    <t>Suely Aparecida Turra Molero</t>
  </si>
  <si>
    <t>Maravilha</t>
  </si>
  <si>
    <t>Av.José Walter nr.437-B.Vitória Régia</t>
  </si>
  <si>
    <t>3622-0085</t>
  </si>
  <si>
    <t>9957-2200</t>
  </si>
  <si>
    <t>suelyturra@gmail.com</t>
  </si>
  <si>
    <t>João Emilio Ribeiro Valongo</t>
  </si>
  <si>
    <t>CPC Valongo</t>
  </si>
  <si>
    <t>R.Abel P.Castro, 395 - Centro</t>
  </si>
  <si>
    <t>3621-3399</t>
  </si>
  <si>
    <t>9203-9213</t>
  </si>
  <si>
    <t>Diretor Convidado:</t>
  </si>
  <si>
    <t>Amarildo Carlos Rodrigues</t>
  </si>
  <si>
    <t>R. 01, Q l, L 12 Res. Pa dos Ipês</t>
  </si>
  <si>
    <t>9611-0278</t>
  </si>
  <si>
    <t>Diretores:</t>
  </si>
  <si>
    <t>Feiras e Eventos</t>
  </si>
  <si>
    <t>Flávio Pagotto</t>
  </si>
  <si>
    <t>Casa da Árvore</t>
  </si>
  <si>
    <t>R. U1, Q-8, L 2A</t>
  </si>
  <si>
    <t>3622-6297</t>
  </si>
  <si>
    <t>9239-6747</t>
  </si>
  <si>
    <t>Social</t>
  </si>
  <si>
    <t>Irene Maria de Lima Vileva</t>
  </si>
  <si>
    <t>Loca Tudo</t>
  </si>
  <si>
    <t>R. 06. Nº77 Parque dos Buritis</t>
  </si>
  <si>
    <t>3613 5238</t>
  </si>
  <si>
    <t>9989-8056</t>
  </si>
  <si>
    <t>Relações Públicas</t>
  </si>
  <si>
    <t>Marcelo Nunes Guimarães</t>
  </si>
  <si>
    <t>TV Riviera</t>
  </si>
  <si>
    <t>Rod. BR-452, km 01</t>
  </si>
  <si>
    <t>3620-2400</t>
  </si>
  <si>
    <t>9675-1310</t>
  </si>
  <si>
    <t>Jurídico</t>
  </si>
  <si>
    <t>Ana Paula Cabral Barbosa Andrade</t>
  </si>
  <si>
    <t>Barbosa e Andrade</t>
  </si>
  <si>
    <t>Rua Joaquim Vaz Nascimento, nº 344 - Centro</t>
  </si>
  <si>
    <t>3621-6018</t>
  </si>
  <si>
    <t>9987-0099</t>
  </si>
  <si>
    <t>ACIRV Jovem</t>
  </si>
  <si>
    <t>Bruno Campos Maia</t>
  </si>
  <si>
    <t>Regivel</t>
  </si>
  <si>
    <t>Rua Nizo Jayme de Gusmão, nº 125 - Sto. Agostinho</t>
  </si>
  <si>
    <t>3621-5200</t>
  </si>
  <si>
    <t>9204-2297</t>
  </si>
  <si>
    <t>Consultivo</t>
  </si>
  <si>
    <t>Angelo Thomaz Landim Junior</t>
  </si>
  <si>
    <t>Brasilata Embalagens</t>
  </si>
  <si>
    <t>Rod. GO-174, km 2,2 - Z. Rural</t>
  </si>
  <si>
    <t>3611-8000</t>
  </si>
  <si>
    <t>8124-0028</t>
  </si>
  <si>
    <t>Aprimoramento Profissional</t>
  </si>
  <si>
    <t>Antonio Silveira Pires</t>
  </si>
  <si>
    <t>Onda Azul Uniformes</t>
  </si>
  <si>
    <t>Rua Juca Alfaiate, nº 86 Dimpe</t>
  </si>
  <si>
    <t>3613-6000</t>
  </si>
  <si>
    <t>8413-1216 8442-6677</t>
  </si>
  <si>
    <t>Assuntos Filantrópicos</t>
  </si>
  <si>
    <t>Adriana Reis de Souza Moreau</t>
  </si>
  <si>
    <t>Eros Boutique</t>
  </si>
  <si>
    <t>Praça 5 de Agosto Nº800 Centro</t>
  </si>
  <si>
    <t>3621-1858 3621-0645</t>
  </si>
  <si>
    <t>8130-0770</t>
  </si>
  <si>
    <t>Assuntos Institucionais</t>
  </si>
  <si>
    <t>Leandro Gonçalves Trindade</t>
  </si>
  <si>
    <t>Midia e Cia</t>
  </si>
  <si>
    <t>Av. CM Câmara, qd. H, Lt. 11 - Cidade Empresarial</t>
  </si>
  <si>
    <t>3623-0133</t>
  </si>
  <si>
    <t>9987-2417</t>
  </si>
  <si>
    <t>Assuntos Econômicos</t>
  </si>
  <si>
    <t>Selma Aparecida Borges</t>
  </si>
  <si>
    <t>Sia Consultoria</t>
  </si>
  <si>
    <t>Praça Carolina L. Veloso Qd 05 Lt 02 Morada Sol</t>
  </si>
  <si>
    <t>3623-2422</t>
  </si>
  <si>
    <t>8404-9803</t>
  </si>
  <si>
    <t>Assuntos Contábeis</t>
  </si>
  <si>
    <t>Edson Alves da Silva</t>
  </si>
  <si>
    <t>Lopes Contábil</t>
  </si>
  <si>
    <t>Av. JK, nº 1035 - S. Morada do Sol</t>
  </si>
  <si>
    <t>3611-4800</t>
  </si>
  <si>
    <t>8405-7239</t>
  </si>
  <si>
    <t>Conselho Fiscal:</t>
  </si>
  <si>
    <t>Wanilva Maria F. Almeida Carvalho</t>
  </si>
  <si>
    <t>Credimais</t>
  </si>
  <si>
    <t>Rua Abel Pereira de Castro, nº 857 - Centro</t>
  </si>
  <si>
    <t>2101-7200</t>
  </si>
  <si>
    <t>9931-1215</t>
  </si>
  <si>
    <t>Valter Martinez Delamolle</t>
  </si>
  <si>
    <t>Orsa</t>
  </si>
  <si>
    <t>R.Avelino Faria, 477 Apto 1103 - Centro</t>
  </si>
  <si>
    <t>3611-1222</t>
  </si>
  <si>
    <t>9643-9552</t>
  </si>
  <si>
    <t>Jorge Felber</t>
  </si>
  <si>
    <t>JÁ Contábil</t>
  </si>
  <si>
    <t>Av. José Walter, nº 160 - B. Vitória Régia</t>
  </si>
  <si>
    <t>3612-2009</t>
  </si>
  <si>
    <t>9987-2976</t>
  </si>
  <si>
    <t>Suplentes do Conselho Fiscal:</t>
  </si>
  <si>
    <t>Andre Liberato Schwening</t>
  </si>
  <si>
    <t>Cereal Ouro</t>
  </si>
  <si>
    <t>Rua EV Carmo, Lt. 22-23-24 - Jd. Goiás</t>
  </si>
  <si>
    <t>2101-6200</t>
  </si>
  <si>
    <t>9239-6525</t>
  </si>
  <si>
    <t>Volmir Paeze</t>
  </si>
  <si>
    <t>Paeze Supermercado</t>
  </si>
  <si>
    <t>Rua João Vaiano, Qd. 17, Lt. 1 - S.  Morada do Sol</t>
  </si>
  <si>
    <t>3622-1333</t>
  </si>
  <si>
    <t>8125-9004</t>
  </si>
  <si>
    <t>Nelson Sicheroli</t>
  </si>
  <si>
    <t>Rio Tropical</t>
  </si>
  <si>
    <t>R.Costa Gomes nº772 -  Centro</t>
  </si>
  <si>
    <t>3621-5454</t>
  </si>
  <si>
    <t>9981-0754</t>
  </si>
  <si>
    <t>Assessoria Jurídica:</t>
  </si>
  <si>
    <t>Gustavo Pignatti Nascimento</t>
  </si>
  <si>
    <t>Pignatti Marcas &amp; Patentes</t>
  </si>
  <si>
    <t>R.05  Qd 06 Lt 10 casa 11- Parque Jatoba</t>
  </si>
  <si>
    <t>3622-5825</t>
  </si>
  <si>
    <t>9653-7980</t>
  </si>
  <si>
    <t>DIRETORIA BIÊNIO 2004/2006</t>
  </si>
  <si>
    <t>Oduvaldo Lopes Ferreira</t>
  </si>
  <si>
    <t>9987-9088</t>
  </si>
  <si>
    <t>Vice-Presidente:</t>
  </si>
  <si>
    <t>3613-0932</t>
  </si>
  <si>
    <t>Angelo Thomaz Landim Jr</t>
  </si>
  <si>
    <t>8111-7406</t>
  </si>
  <si>
    <t>Prestação Serviços</t>
  </si>
  <si>
    <t>Nivaldo Isaac Horbilon</t>
  </si>
  <si>
    <t>3622-1419</t>
  </si>
  <si>
    <t>8111-7182</t>
  </si>
  <si>
    <t>Wender Francisco de Souza</t>
  </si>
  <si>
    <t>3612-4308</t>
  </si>
  <si>
    <t>9236-3059</t>
  </si>
  <si>
    <t>3612-1212</t>
  </si>
  <si>
    <t>3620-5028</t>
  </si>
  <si>
    <t>8117-6209</t>
  </si>
  <si>
    <t>9987-7167</t>
  </si>
  <si>
    <t>Zuleika Camilo Souza Alves</t>
  </si>
  <si>
    <t>2101-0800</t>
  </si>
  <si>
    <t>9217-0139</t>
  </si>
  <si>
    <t>Relações Puplicas</t>
  </si>
  <si>
    <t>Cairo Nascimento Fagundes</t>
  </si>
  <si>
    <t>3613-2630</t>
  </si>
  <si>
    <t>9987-1091</t>
  </si>
  <si>
    <t>Aibes Alberto da Silva</t>
  </si>
  <si>
    <t>3611-0622</t>
  </si>
  <si>
    <t>9987-2056</t>
  </si>
  <si>
    <t>Glorivan Filho</t>
  </si>
  <si>
    <t>3621-4242</t>
  </si>
  <si>
    <t>9675-1975</t>
  </si>
  <si>
    <t>Rubens Leão de Lemos Barroso</t>
  </si>
  <si>
    <t>2101-6048</t>
  </si>
  <si>
    <t>9987-2244</t>
  </si>
  <si>
    <t>César Henrique Gonçalves</t>
  </si>
  <si>
    <t>3281-1613</t>
  </si>
  <si>
    <t>8413--2557</t>
  </si>
  <si>
    <t>Walter Marinez Delamolle</t>
  </si>
  <si>
    <t>8114-9552</t>
  </si>
  <si>
    <t>Paulo Eustáquio Resende Nascimento</t>
  </si>
  <si>
    <t>3620-2205</t>
  </si>
  <si>
    <t>9641-0052</t>
  </si>
  <si>
    <t>João Valongo</t>
  </si>
  <si>
    <t>Ivo Marques de Moraes JR.</t>
  </si>
  <si>
    <t>9987-6300</t>
  </si>
  <si>
    <t>Edson Donizete Quinelli</t>
  </si>
  <si>
    <t>3621-3737</t>
  </si>
  <si>
    <t>9282-9597</t>
  </si>
  <si>
    <t>Marília da Cunha Câmara Ramos</t>
  </si>
  <si>
    <t>3611-4100</t>
  </si>
  <si>
    <t>9214-2221</t>
  </si>
  <si>
    <t>Suplentes:</t>
  </si>
  <si>
    <t>Suzy Siqueira dos Santos</t>
  </si>
  <si>
    <t>3613-1512</t>
  </si>
  <si>
    <t>9641-1322</t>
  </si>
  <si>
    <t>John Kennedy Moraes Santos</t>
  </si>
  <si>
    <t>3623-8530</t>
  </si>
  <si>
    <t>8115-5238</t>
  </si>
  <si>
    <t>Cairo Santos Macedo</t>
  </si>
  <si>
    <t>3612-1191</t>
  </si>
  <si>
    <t>8116-3637</t>
  </si>
  <si>
    <t>9236-3068</t>
  </si>
  <si>
    <t>Lopes Ass. Empresarial</t>
  </si>
  <si>
    <t>Sandro Macedo de Faria</t>
  </si>
  <si>
    <t>Papelaria Faria</t>
  </si>
  <si>
    <t>R. 12, nº 699 - Jardim Goiás</t>
  </si>
  <si>
    <t>Brasilata</t>
  </si>
  <si>
    <t>Rod. GO 174, KM 2</t>
  </si>
  <si>
    <t>100% video</t>
  </si>
  <si>
    <t>R. Abel Pereira de Castro, nº 993 - Centro</t>
  </si>
  <si>
    <t>Gloriva Parreira França</t>
  </si>
  <si>
    <t>Brasil Card</t>
  </si>
  <si>
    <t>R. Major Oscar Campos, nº 555 - Centro</t>
  </si>
  <si>
    <t>D'Angelo Magazine</t>
  </si>
  <si>
    <t>Av. 77, nº 385 - Bairro Popular</t>
  </si>
  <si>
    <t>Gutenberg Rodrigues Barros Jr</t>
  </si>
  <si>
    <t>TECMAQ</t>
  </si>
  <si>
    <t>Av. Presidente Vargas, nº 72</t>
  </si>
  <si>
    <t>Rodotel Caribe</t>
  </si>
  <si>
    <t>Rod. BR 060, KM 418</t>
  </si>
  <si>
    <t xml:space="preserve">R. 02, nº 324 - Parque dos Boritis </t>
  </si>
  <si>
    <t>Manoel Divino Silva</t>
  </si>
  <si>
    <t>Cenaryu's Boutique</t>
  </si>
  <si>
    <t>Av. Prasidente Vargas, nº 660 - Centro</t>
  </si>
  <si>
    <t>José Antônio Pacheco Pereira</t>
  </si>
  <si>
    <t>Plasrio Embalagens</t>
  </si>
  <si>
    <t>Av. Presidente Vargas, nº 530 - Centro</t>
  </si>
  <si>
    <t>Set Produções</t>
  </si>
  <si>
    <t>R. 09, nº 264 - Setor Universitário</t>
  </si>
  <si>
    <t>Márcio Portilho Lima</t>
  </si>
  <si>
    <t>Cia da Criação</t>
  </si>
  <si>
    <t>R. 18, nº 108 - Vila Amália</t>
  </si>
  <si>
    <t>Cairo do FOTO</t>
  </si>
  <si>
    <t>R. 03, nº 502 - Vila Amália</t>
  </si>
  <si>
    <t>José Fagundes</t>
  </si>
  <si>
    <t>Advogados Associados</t>
  </si>
  <si>
    <t>Av. Pres. Vargas, nº 272 - Ed. Centro Emp. - sala 31</t>
  </si>
  <si>
    <t>Breno Shester Santos Ferreira</t>
  </si>
  <si>
    <t>Paulomaq</t>
  </si>
  <si>
    <t>Av. Pedro Lud. Teixeira, nº 1.261 - Nova V. Maria</t>
  </si>
  <si>
    <t>5ª Essencia</t>
  </si>
  <si>
    <t>Praça Gonzaga Jaime, nº 46 - Centro</t>
  </si>
  <si>
    <t>Marcelo Rodrigues Ribeiro</t>
  </si>
  <si>
    <t>Quasar</t>
  </si>
  <si>
    <t>R. Rafael Nascimento, nº 245</t>
  </si>
  <si>
    <t>Vitor Carvalho Macedo</t>
  </si>
  <si>
    <t>Termas Park</t>
  </si>
  <si>
    <t>Rua do Ginásio, nº 571</t>
  </si>
  <si>
    <t>FESURV</t>
  </si>
  <si>
    <t>Fazenda Fontes do Saber</t>
  </si>
  <si>
    <t>Imobiliária Rei</t>
  </si>
  <si>
    <t>Av. Pres. Vargas, nº 292 - Centro</t>
  </si>
  <si>
    <t>Elivam Alves Arantes</t>
  </si>
  <si>
    <t>Clube Campestre</t>
  </si>
  <si>
    <t xml:space="preserve">Rua Luiz de Bastos, nº 850 </t>
  </si>
  <si>
    <t>Ailton Leão de Moraes</t>
  </si>
  <si>
    <t>Drogaria Santo Mônica</t>
  </si>
  <si>
    <t>Rua 12, esq. C/ Rua 01, nº 7 - Parq. Buritis</t>
  </si>
  <si>
    <t>Quinelli Seguros</t>
  </si>
  <si>
    <t>R. Costa Gomes, nº 887-B - Centro</t>
  </si>
  <si>
    <t>Leonardo Dal Pont</t>
  </si>
  <si>
    <t>JN Prestadora de Serviços</t>
  </si>
  <si>
    <t>Rua 01, nº 535 - Parque dos Buritis</t>
  </si>
  <si>
    <t>André Luiz Furquim Carvalho</t>
  </si>
  <si>
    <t>Rádio 96 FM</t>
  </si>
  <si>
    <t>Rua 11, nº 100 - Solar Agreste II</t>
  </si>
  <si>
    <t>Marion Kompier</t>
  </si>
  <si>
    <t>Kompier</t>
  </si>
  <si>
    <t>Rua João Rodrigues, nº 446</t>
  </si>
  <si>
    <t>Marciano Leão &amp; Maffissous</t>
  </si>
  <si>
    <t>R. Major Rocha, nº 280 - Vila Rocha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</si>
</sst>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u/>
      <sz val="10.0"/>
      <color rgb="FF000000"/>
    </font>
    <font>
      <sz val="10.0"/>
      <color rgb="FF000000"/>
    </font>
    <font>
      <sz val="8.0"/>
      <color rgb="FF000000"/>
    </font>
    <font>
      <b/>
      <sz val="8.0"/>
      <color rgb="FF000000"/>
    </font>
    <font>
      <u/>
      <sz val="8.0"/>
      <color rgb="FF000000"/>
    </font>
    <font/>
    <font>
      <u/>
      <sz val="10.0"/>
      <color rgb="FF000000"/>
    </font>
    <font>
      <b/>
      <sz val="10.0"/>
      <color rgb="FF000000"/>
    </font>
    <font>
      <u/>
      <sz val="7.0"/>
      <color rgb="FF000000"/>
    </font>
    <font>
      <sz val="7.0"/>
      <color rgb="FF000000"/>
    </font>
    <font>
      <u/>
      <sz val="7.0"/>
      <color rgb="FF0000FF"/>
    </font>
    <font>
      <u/>
      <sz val="7.0"/>
      <color rgb="FF0000FF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4" numFmtId="3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horizontal="left" readingOrder="0" shrinkToFit="0" vertical="bottom" wrapText="1"/>
    </xf>
    <xf borderId="2" fillId="0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8" numFmtId="3" xfId="0" applyAlignment="1" applyBorder="1" applyFont="1" applyNumberForma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horizontal="lef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5"/>
    <col customWidth="1" min="2" max="2" width="24.38"/>
    <col customWidth="1" min="3" max="3" width="17.5"/>
    <col customWidth="1" min="4" max="4" width="33.13"/>
    <col customWidth="1" min="5" max="6" width="8.13"/>
    <col customWidth="1" min="7" max="7" width="26.75"/>
  </cols>
  <sheetData>
    <row r="1">
      <c r="A1" s="1" t="s">
        <v>0</v>
      </c>
    </row>
    <row r="2" ht="12.0" customHeight="1">
      <c r="A2" s="2"/>
      <c r="B2" s="3" t="s">
        <v>1</v>
      </c>
      <c r="C2" s="2"/>
      <c r="D2" s="2"/>
      <c r="E2" s="2"/>
      <c r="F2" s="2"/>
      <c r="G2" s="2"/>
    </row>
    <row r="3" ht="23.25" customHeight="1">
      <c r="A3" s="4" t="s">
        <v>2</v>
      </c>
      <c r="B3" s="5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6" t="str">
        <f>HYPERLINK("mailto:dejanemara@mlmadvogados.com.br","dejanemara@mlmadvogados.com.br")</f>
        <v>dejanemara@mlmadvogados.com.br</v>
      </c>
    </row>
    <row r="4">
      <c r="A4" s="7" t="s">
        <v>8</v>
      </c>
      <c r="B4" s="8"/>
      <c r="C4" s="8"/>
      <c r="D4" s="8"/>
      <c r="E4" s="8"/>
      <c r="F4" s="8"/>
      <c r="G4" s="8"/>
    </row>
    <row r="5" ht="11.25" customHeight="1">
      <c r="A5" s="9" t="s">
        <v>9</v>
      </c>
      <c r="B5" s="5" t="s">
        <v>10</v>
      </c>
      <c r="C5" s="5" t="s">
        <v>11</v>
      </c>
      <c r="D5" s="5" t="s">
        <v>12</v>
      </c>
      <c r="E5" s="4" t="s">
        <v>13</v>
      </c>
      <c r="F5" s="4" t="s">
        <v>14</v>
      </c>
      <c r="G5" s="6" t="str">
        <f>HYPERLINK("mailto:ivojr@conquistasupermercados.com.br","ivojr@conquistasupermercados.com.br")</f>
        <v>ivojr@conquistasupermercados.com.br</v>
      </c>
    </row>
    <row r="6" ht="11.25" customHeight="1">
      <c r="A6" s="9" t="s">
        <v>15</v>
      </c>
      <c r="B6" s="5" t="s">
        <v>16</v>
      </c>
      <c r="C6" s="5" t="s">
        <v>17</v>
      </c>
      <c r="D6" s="5" t="s">
        <v>18</v>
      </c>
      <c r="E6" s="4" t="s">
        <v>19</v>
      </c>
      <c r="F6" s="4" t="s">
        <v>20</v>
      </c>
      <c r="G6" s="6" t="str">
        <f>HYPERLINK("mailto:adriano@grupocereal.com.br","adriano@grupocereal.com.br")</f>
        <v>adriano@grupocereal.com.br</v>
      </c>
    </row>
    <row r="7" ht="22.5" customHeight="1">
      <c r="A7" s="9" t="s">
        <v>21</v>
      </c>
      <c r="B7" s="5" t="s">
        <v>22</v>
      </c>
      <c r="C7" s="5" t="s">
        <v>23</v>
      </c>
      <c r="D7" s="5" t="s">
        <v>24</v>
      </c>
      <c r="E7" s="4" t="s">
        <v>25</v>
      </c>
      <c r="F7" s="4" t="s">
        <v>26</v>
      </c>
      <c r="G7" s="6" t="str">
        <f>HYPERLINK("mailto:jacqueline@sistemalocaliza.com","jacqueline@sistemalocaliza.com")</f>
        <v>jacqueline@sistemalocaliza.com</v>
      </c>
    </row>
    <row r="8" ht="11.25" customHeight="1">
      <c r="A8" s="9" t="s">
        <v>27</v>
      </c>
      <c r="B8" s="5" t="s">
        <v>28</v>
      </c>
      <c r="C8" s="5" t="s">
        <v>29</v>
      </c>
      <c r="D8" s="5" t="s">
        <v>30</v>
      </c>
      <c r="E8" s="4" t="s">
        <v>31</v>
      </c>
      <c r="F8" s="4" t="s">
        <v>32</v>
      </c>
      <c r="G8" s="6" t="str">
        <f>HYPERLINK("mailto:nivaldo@centerflex.com.br","nivaldo@centerflex.com.br")</f>
        <v>nivaldo@centerflex.com.br</v>
      </c>
    </row>
    <row r="9" ht="22.5" customHeight="1">
      <c r="A9" s="9" t="s">
        <v>33</v>
      </c>
      <c r="B9" s="5" t="s">
        <v>34</v>
      </c>
      <c r="C9" s="5" t="s">
        <v>35</v>
      </c>
      <c r="D9" s="5" t="s">
        <v>36</v>
      </c>
      <c r="E9" s="10" t="s">
        <v>37</v>
      </c>
      <c r="F9" s="4" t="s">
        <v>38</v>
      </c>
      <c r="G9" s="6" t="str">
        <f>HYPERLINK("mailto:manoel_rve_manuel@hotmail.com","manoel_rve_manuel@hotmail.com")</f>
        <v>manoel_rve_manuel@hotmail.com</v>
      </c>
    </row>
    <row r="10" ht="12.0" customHeight="1">
      <c r="A10" s="9" t="s">
        <v>39</v>
      </c>
      <c r="B10" s="5" t="s">
        <v>40</v>
      </c>
      <c r="C10" s="5" t="s">
        <v>41</v>
      </c>
      <c r="D10" s="5" t="s">
        <v>42</v>
      </c>
      <c r="E10" s="4" t="s">
        <v>43</v>
      </c>
      <c r="F10" s="4" t="s">
        <v>44</v>
      </c>
      <c r="G10" s="6" t="str">
        <f>HYPERLINK("mailto:cassio@decal.com.br","cassio@decal.com.br")</f>
        <v>cassio@decal.com.br</v>
      </c>
    </row>
    <row r="11">
      <c r="A11" s="7" t="s">
        <v>45</v>
      </c>
      <c r="B11" s="8"/>
      <c r="C11" s="8"/>
      <c r="D11" s="8"/>
      <c r="E11" s="8"/>
      <c r="F11" s="8"/>
      <c r="G11" s="8"/>
    </row>
    <row r="12" ht="11.25" customHeight="1">
      <c r="A12" s="11"/>
      <c r="B12" s="5" t="s">
        <v>46</v>
      </c>
      <c r="C12" s="5" t="s">
        <v>47</v>
      </c>
      <c r="D12" s="5" t="s">
        <v>48</v>
      </c>
      <c r="E12" s="10" t="s">
        <v>49</v>
      </c>
      <c r="F12" s="4" t="s">
        <v>50</v>
      </c>
      <c r="G12" s="6" t="str">
        <f>HYPERLINK("mailto:alexandro.oliveira@brf-br.com","alexandro.oliveira@brf-br.com")</f>
        <v>alexandro.oliveira@brf-br.com</v>
      </c>
    </row>
    <row r="13" ht="12.0" customHeight="1">
      <c r="A13" s="11"/>
      <c r="B13" s="5" t="s">
        <v>51</v>
      </c>
      <c r="C13" s="5" t="s">
        <v>52</v>
      </c>
      <c r="D13" s="5" t="s">
        <v>53</v>
      </c>
      <c r="E13" s="4" t="s">
        <v>54</v>
      </c>
      <c r="F13" s="4" t="s">
        <v>55</v>
      </c>
      <c r="G13" s="6" t="str">
        <f>HYPERLINK("mailto:aguilar@comigo.com.br","aguilar@comigo.com.br")</f>
        <v>aguilar@comigo.com.br</v>
      </c>
    </row>
    <row r="14">
      <c r="A14" s="7" t="s">
        <v>56</v>
      </c>
      <c r="B14" s="8"/>
      <c r="C14" s="8"/>
      <c r="D14" s="8"/>
      <c r="E14" s="8"/>
      <c r="F14" s="8"/>
      <c r="G14" s="8"/>
    </row>
    <row r="15" ht="11.25" customHeight="1">
      <c r="A15" s="11"/>
      <c r="B15" s="5" t="s">
        <v>57</v>
      </c>
      <c r="C15" s="5" t="s">
        <v>58</v>
      </c>
      <c r="D15" s="5" t="s">
        <v>59</v>
      </c>
      <c r="E15" s="4" t="s">
        <v>60</v>
      </c>
      <c r="F15" s="4" t="s">
        <v>61</v>
      </c>
      <c r="G15" s="5" t="s">
        <v>62</v>
      </c>
    </row>
    <row r="16" ht="12.0" customHeight="1">
      <c r="A16" s="11"/>
      <c r="B16" s="5" t="s">
        <v>63</v>
      </c>
      <c r="C16" s="5" t="s">
        <v>64</v>
      </c>
      <c r="D16" s="5" t="s">
        <v>65</v>
      </c>
      <c r="E16" s="4" t="s">
        <v>66</v>
      </c>
      <c r="F16" s="4" t="s">
        <v>67</v>
      </c>
      <c r="G16" s="6" t="str">
        <f>HYPERLINK("mailto:valongo@brturbo.com.br","valongo@brturbo.com.br")</f>
        <v>valongo@brturbo.com.br</v>
      </c>
    </row>
    <row r="17" ht="13.5" customHeight="1">
      <c r="A17" s="12" t="s">
        <v>68</v>
      </c>
      <c r="B17" s="8"/>
      <c r="C17" s="8"/>
      <c r="D17" s="8"/>
      <c r="E17" s="8"/>
      <c r="F17" s="8"/>
      <c r="G17" s="8"/>
    </row>
    <row r="18" ht="12.0" customHeight="1">
      <c r="A18" s="11"/>
      <c r="B18" s="5" t="s">
        <v>69</v>
      </c>
      <c r="C18" s="13"/>
      <c r="D18" s="5" t="s">
        <v>70</v>
      </c>
      <c r="E18" s="14"/>
      <c r="F18" s="4" t="s">
        <v>71</v>
      </c>
      <c r="G18" s="6" t="str">
        <f>HYPERLINK("mailto:acr_vms@uol.com.br","acr_vms@uol.com.br")</f>
        <v>acr_vms@uol.com.br</v>
      </c>
    </row>
    <row r="19">
      <c r="A19" s="7" t="s">
        <v>72</v>
      </c>
      <c r="B19" s="8"/>
      <c r="C19" s="8"/>
      <c r="D19" s="8"/>
      <c r="E19" s="8"/>
      <c r="F19" s="8"/>
      <c r="G19" s="8"/>
    </row>
    <row r="20" ht="22.5" customHeight="1">
      <c r="A20" s="9" t="s">
        <v>73</v>
      </c>
      <c r="B20" s="5" t="s">
        <v>74</v>
      </c>
      <c r="C20" s="5" t="s">
        <v>75</v>
      </c>
      <c r="D20" s="5" t="s">
        <v>76</v>
      </c>
      <c r="E20" s="4" t="s">
        <v>77</v>
      </c>
      <c r="F20" s="4" t="s">
        <v>78</v>
      </c>
      <c r="G20" s="6" t="str">
        <f>HYPERLINK("mailto:pagotto@casadaarvore.net","pagotto@casadaarvore.net")</f>
        <v>pagotto@casadaarvore.net</v>
      </c>
    </row>
    <row r="21" ht="11.25" customHeight="1">
      <c r="A21" s="9" t="s">
        <v>79</v>
      </c>
      <c r="B21" s="5" t="s">
        <v>80</v>
      </c>
      <c r="C21" s="5" t="s">
        <v>81</v>
      </c>
      <c r="D21" s="5" t="s">
        <v>82</v>
      </c>
      <c r="E21" s="4" t="s">
        <v>83</v>
      </c>
      <c r="F21" s="4" t="s">
        <v>84</v>
      </c>
      <c r="G21" s="6" t="str">
        <f>HYPERLINK("mailto:limavilela@hotmail.com","limavilela@hotmail.com")</f>
        <v>limavilela@hotmail.com</v>
      </c>
    </row>
    <row r="22" ht="22.5" customHeight="1">
      <c r="A22" s="9" t="s">
        <v>85</v>
      </c>
      <c r="B22" s="5" t="s">
        <v>86</v>
      </c>
      <c r="C22" s="5" t="s">
        <v>87</v>
      </c>
      <c r="D22" s="5" t="s">
        <v>88</v>
      </c>
      <c r="E22" s="4" t="s">
        <v>89</v>
      </c>
      <c r="F22" s="4" t="s">
        <v>90</v>
      </c>
      <c r="G22" s="6" t="str">
        <f>HYPERLINK("mailto:marcelo.guimaraes@tvanhanguera.com.br","marcelo.guimaraes@tvanhanguera.com.br")</f>
        <v>marcelo.guimaraes@tvanhanguera.com.br</v>
      </c>
    </row>
    <row r="23" ht="11.25" customHeight="1">
      <c r="A23" s="9" t="s">
        <v>91</v>
      </c>
      <c r="B23" s="5" t="s">
        <v>92</v>
      </c>
      <c r="C23" s="5" t="s">
        <v>93</v>
      </c>
      <c r="D23" s="5" t="s">
        <v>94</v>
      </c>
      <c r="E23" s="4" t="s">
        <v>95</v>
      </c>
      <c r="F23" s="4" t="s">
        <v>96</v>
      </c>
      <c r="G23" s="6" t="str">
        <f>HYPERLINK("mailto:anapaula@barbosaeandrade.com.br","anapaula@barbosaeandrade.com.br")</f>
        <v>anapaula@barbosaeandrade.com.br</v>
      </c>
    </row>
    <row r="24" ht="11.25" customHeight="1">
      <c r="A24" s="9" t="s">
        <v>97</v>
      </c>
      <c r="B24" s="5" t="s">
        <v>98</v>
      </c>
      <c r="C24" s="5" t="s">
        <v>99</v>
      </c>
      <c r="D24" s="5" t="s">
        <v>100</v>
      </c>
      <c r="E24" s="4" t="s">
        <v>101</v>
      </c>
      <c r="F24" s="4" t="s">
        <v>102</v>
      </c>
      <c r="G24" s="6" t="str">
        <f>HYPERLINK("mailto:bruno@regivel.com.br","bruno@regivel.com.br")</f>
        <v>bruno@regivel.com.br</v>
      </c>
    </row>
    <row r="25" ht="11.25" customHeight="1">
      <c r="A25" s="9" t="s">
        <v>103</v>
      </c>
      <c r="B25" s="5" t="s">
        <v>104</v>
      </c>
      <c r="C25" s="5" t="s">
        <v>105</v>
      </c>
      <c r="D25" s="5" t="s">
        <v>106</v>
      </c>
      <c r="E25" s="4" t="s">
        <v>107</v>
      </c>
      <c r="F25" s="4" t="s">
        <v>108</v>
      </c>
      <c r="G25" s="6" t="str">
        <f>HYPERLINK("mailto:angelo.gog@brasilata.com.br","angelo.gog@brasilata.com.br")</f>
        <v>angelo.gog@brasilata.com.br</v>
      </c>
    </row>
    <row r="26" ht="22.5" customHeight="1">
      <c r="A26" s="9" t="s">
        <v>109</v>
      </c>
      <c r="B26" s="5" t="s">
        <v>110</v>
      </c>
      <c r="C26" s="5" t="s">
        <v>111</v>
      </c>
      <c r="D26" s="5" t="s">
        <v>112</v>
      </c>
      <c r="E26" s="4" t="s">
        <v>113</v>
      </c>
      <c r="F26" s="4" t="s">
        <v>114</v>
      </c>
      <c r="G26" s="6" t="str">
        <f>HYPERLINK("mailto:ondaazul@gmail.com","ondaazul@gmail.com")</f>
        <v>ondaazul@gmail.com</v>
      </c>
    </row>
    <row r="27" ht="22.5" customHeight="1">
      <c r="A27" s="9" t="s">
        <v>115</v>
      </c>
      <c r="B27" s="5" t="s">
        <v>116</v>
      </c>
      <c r="C27" s="5" t="s">
        <v>117</v>
      </c>
      <c r="D27" s="5" t="s">
        <v>118</v>
      </c>
      <c r="E27" s="4" t="s">
        <v>119</v>
      </c>
      <c r="F27" s="4" t="s">
        <v>120</v>
      </c>
      <c r="G27" s="6" t="str">
        <f>HYPERLINK("mailto:eros.boutique@gmail.com","eros.boutique@gmail.com")</f>
        <v>eros.boutique@gmail.com</v>
      </c>
    </row>
    <row r="28" ht="22.5" customHeight="1">
      <c r="A28" s="9" t="s">
        <v>121</v>
      </c>
      <c r="B28" s="5" t="s">
        <v>122</v>
      </c>
      <c r="C28" s="5" t="s">
        <v>123</v>
      </c>
      <c r="D28" s="5" t="s">
        <v>124</v>
      </c>
      <c r="E28" s="4" t="s">
        <v>125</v>
      </c>
      <c r="F28" s="4" t="s">
        <v>126</v>
      </c>
      <c r="G28" s="6" t="str">
        <f>HYPERLINK("mailto:leandro@midiaecia.com","leandro@midiaecia.com")</f>
        <v>leandro@midiaecia.com</v>
      </c>
    </row>
    <row r="29" ht="22.5" customHeight="1">
      <c r="A29" s="9" t="s">
        <v>127</v>
      </c>
      <c r="B29" s="5" t="s">
        <v>128</v>
      </c>
      <c r="C29" s="5" t="s">
        <v>129</v>
      </c>
      <c r="D29" s="5" t="s">
        <v>130</v>
      </c>
      <c r="E29" s="4" t="s">
        <v>131</v>
      </c>
      <c r="F29" s="4" t="s">
        <v>132</v>
      </c>
      <c r="G29" s="6" t="str">
        <f>HYPERLINK("mailto:selma@siaconsultoria.com.br","selma@siaconsultoria.com.br")</f>
        <v>selma@siaconsultoria.com.br</v>
      </c>
    </row>
    <row r="30" ht="23.25" customHeight="1">
      <c r="A30" s="9" t="s">
        <v>133</v>
      </c>
      <c r="B30" s="5" t="s">
        <v>134</v>
      </c>
      <c r="C30" s="5" t="s">
        <v>135</v>
      </c>
      <c r="D30" s="5" t="s">
        <v>136</v>
      </c>
      <c r="E30" s="4" t="s">
        <v>137</v>
      </c>
      <c r="F30" s="4" t="s">
        <v>138</v>
      </c>
      <c r="G30" s="6" t="str">
        <f>HYPERLINK("mailto:edson@lopescontabil.com.br","edson@lopescontabil.com.br")</f>
        <v>edson@lopescontabil.com.br</v>
      </c>
    </row>
    <row r="31" ht="12.0" customHeight="1">
      <c r="A31" s="7" t="s">
        <v>139</v>
      </c>
      <c r="B31" s="8"/>
      <c r="C31" s="8"/>
      <c r="D31" s="8"/>
      <c r="E31" s="8"/>
      <c r="F31" s="8"/>
      <c r="G31" s="8"/>
    </row>
    <row r="32">
      <c r="A32" s="11"/>
      <c r="B32" s="5" t="s">
        <v>140</v>
      </c>
      <c r="C32" s="5" t="s">
        <v>141</v>
      </c>
      <c r="D32" s="5" t="s">
        <v>142</v>
      </c>
      <c r="E32" s="4" t="s">
        <v>143</v>
      </c>
      <c r="F32" s="4" t="s">
        <v>144</v>
      </c>
      <c r="G32" s="6" t="str">
        <f>HYPERLINK("mailto:wanilva@hotmail.com","wanilva@hotmail.com")</f>
        <v>wanilva@hotmail.com</v>
      </c>
    </row>
    <row r="33" ht="11.25" customHeight="1">
      <c r="A33" s="11"/>
      <c r="B33" s="5" t="s">
        <v>145</v>
      </c>
      <c r="C33" s="5" t="s">
        <v>146</v>
      </c>
      <c r="D33" s="5" t="s">
        <v>147</v>
      </c>
      <c r="E33" s="4" t="s">
        <v>148</v>
      </c>
      <c r="F33" s="4" t="s">
        <v>149</v>
      </c>
      <c r="G33" s="6" t="str">
        <f>HYPERLINK("mailto:vdellamole@grupoorsa.com.br","vdellamole@grupoorsa.com.br")</f>
        <v>vdellamole@grupoorsa.com.br</v>
      </c>
    </row>
    <row r="34" ht="12.0" customHeight="1">
      <c r="A34" s="11"/>
      <c r="B34" s="5" t="s">
        <v>150</v>
      </c>
      <c r="C34" s="5" t="s">
        <v>151</v>
      </c>
      <c r="D34" s="5" t="s">
        <v>152</v>
      </c>
      <c r="E34" s="4" t="s">
        <v>153</v>
      </c>
      <c r="F34" s="4" t="s">
        <v>154</v>
      </c>
      <c r="G34" s="6" t="str">
        <f>HYPERLINK("mailto:jorge@jacontabilrv.com.br","jorge@jacontabilrv.com.br")</f>
        <v>jorge@jacontabilrv.com.br</v>
      </c>
    </row>
    <row r="35" ht="12.0" customHeight="1">
      <c r="A35" s="7" t="s">
        <v>155</v>
      </c>
      <c r="B35" s="8"/>
      <c r="C35" s="8"/>
      <c r="D35" s="8"/>
      <c r="E35" s="8"/>
      <c r="F35" s="8"/>
      <c r="G35" s="8"/>
    </row>
    <row r="36">
      <c r="A36" s="11"/>
      <c r="B36" s="5" t="s">
        <v>156</v>
      </c>
      <c r="C36" s="5" t="s">
        <v>157</v>
      </c>
      <c r="D36" s="5" t="s">
        <v>158</v>
      </c>
      <c r="E36" s="4" t="s">
        <v>159</v>
      </c>
      <c r="F36" s="4" t="s">
        <v>160</v>
      </c>
      <c r="G36" s="6" t="str">
        <f>HYPERLINK("mailto:andre@cerealouro.com.br","andre@cerealouro.com.br")</f>
        <v>andre@cerealouro.com.br</v>
      </c>
    </row>
    <row r="37" ht="11.25" customHeight="1">
      <c r="A37" s="11"/>
      <c r="B37" s="5" t="s">
        <v>161</v>
      </c>
      <c r="C37" s="5" t="s">
        <v>162</v>
      </c>
      <c r="D37" s="5" t="s">
        <v>163</v>
      </c>
      <c r="E37" s="4" t="s">
        <v>164</v>
      </c>
      <c r="F37" s="4" t="s">
        <v>165</v>
      </c>
      <c r="G37" s="6" t="str">
        <f>HYPERLINK("mailto:volmir@paeze.com.br","volmir@paeze.com.br")</f>
        <v>volmir@paeze.com.br</v>
      </c>
    </row>
    <row r="38" ht="12.0" customHeight="1">
      <c r="A38" s="11"/>
      <c r="B38" s="5" t="s">
        <v>166</v>
      </c>
      <c r="C38" s="5" t="s">
        <v>167</v>
      </c>
      <c r="D38" s="5" t="s">
        <v>168</v>
      </c>
      <c r="E38" s="4" t="s">
        <v>169</v>
      </c>
      <c r="F38" s="4" t="s">
        <v>170</v>
      </c>
      <c r="G38" s="6" t="str">
        <f>HYPERLINK("mailto:riotropicaltransportes@hotmail.com","riotropicaltransportes@hotmail.com")</f>
        <v>riotropicaltransportes@hotmail.com</v>
      </c>
    </row>
    <row r="39" ht="12.0" customHeight="1">
      <c r="A39" s="7" t="s">
        <v>171</v>
      </c>
      <c r="B39" s="8"/>
      <c r="C39" s="8"/>
      <c r="D39" s="8"/>
      <c r="E39" s="8"/>
      <c r="F39" s="8"/>
      <c r="G39" s="8"/>
    </row>
    <row r="40">
      <c r="A40" s="11"/>
      <c r="B40" s="5" t="s">
        <v>172</v>
      </c>
      <c r="C40" s="5" t="s">
        <v>173</v>
      </c>
      <c r="D40" s="5" t="s">
        <v>174</v>
      </c>
      <c r="E40" s="4" t="s">
        <v>175</v>
      </c>
      <c r="F40" s="4" t="s">
        <v>176</v>
      </c>
      <c r="G40" s="6" t="str">
        <f>HYPERLINK("mailto:gustavopignatti@yahoo.com.br","gustavopignatti@yahoo.com.br")</f>
        <v>gustavopignatti@yahoo.com.br</v>
      </c>
    </row>
    <row r="41" ht="11.25" customHeight="1">
      <c r="A41" s="15"/>
      <c r="B41" s="16"/>
      <c r="C41" s="17"/>
      <c r="D41" s="17"/>
      <c r="E41" s="15"/>
      <c r="F41" s="15"/>
      <c r="G41" s="17"/>
    </row>
    <row r="42">
      <c r="A42" s="18"/>
      <c r="B42" s="19"/>
      <c r="C42" s="19"/>
      <c r="D42" s="19"/>
      <c r="E42" s="18"/>
      <c r="F42" s="18"/>
      <c r="G42" s="19"/>
    </row>
  </sheetData>
  <mergeCells count="9">
    <mergeCell ref="A35:G35"/>
    <mergeCell ref="A39:G39"/>
    <mergeCell ref="A1:G1"/>
    <mergeCell ref="A4:G4"/>
    <mergeCell ref="A11:G11"/>
    <mergeCell ref="A14:G14"/>
    <mergeCell ref="A17:G17"/>
    <mergeCell ref="A19:G19"/>
    <mergeCell ref="A31:G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8.38"/>
    <col customWidth="1" min="2" max="2" width="28.88"/>
    <col customWidth="1" min="3" max="3" width="9.13"/>
    <col customWidth="1" min="4" max="4" width="9.25"/>
    <col customWidth="1" min="5" max="6" width="24.0"/>
  </cols>
  <sheetData>
    <row r="1">
      <c r="A1" s="20" t="s">
        <v>177</v>
      </c>
      <c r="E1" s="19"/>
      <c r="F1" s="19"/>
    </row>
    <row r="2" ht="13.5" customHeight="1">
      <c r="A2" s="2"/>
      <c r="B2" s="21" t="s">
        <v>1</v>
      </c>
      <c r="C2" s="2"/>
      <c r="D2" s="2"/>
      <c r="E2" s="19"/>
      <c r="F2" s="19"/>
    </row>
    <row r="3" ht="13.5" customHeight="1">
      <c r="A3" s="22" t="s">
        <v>2</v>
      </c>
      <c r="B3" s="23" t="s">
        <v>178</v>
      </c>
      <c r="C3" s="24" t="s">
        <v>137</v>
      </c>
      <c r="D3" s="24" t="s">
        <v>179</v>
      </c>
      <c r="E3" s="25"/>
      <c r="F3" s="19"/>
    </row>
    <row r="4" ht="13.5" customHeight="1">
      <c r="A4" s="26"/>
      <c r="B4" s="26"/>
      <c r="C4" s="26"/>
      <c r="D4" s="26"/>
      <c r="E4" s="19"/>
      <c r="F4" s="19"/>
    </row>
    <row r="5">
      <c r="A5" s="27" t="s">
        <v>180</v>
      </c>
      <c r="B5" s="8"/>
      <c r="C5" s="8"/>
      <c r="D5" s="8"/>
      <c r="E5" s="25"/>
      <c r="F5" s="19"/>
    </row>
    <row r="6">
      <c r="A6" s="28" t="s">
        <v>9</v>
      </c>
      <c r="B6" s="28" t="s">
        <v>34</v>
      </c>
      <c r="C6" s="24" t="s">
        <v>181</v>
      </c>
      <c r="D6" s="24" t="s">
        <v>38</v>
      </c>
      <c r="E6" s="25"/>
      <c r="F6" s="19"/>
    </row>
    <row r="7">
      <c r="A7" s="28" t="s">
        <v>15</v>
      </c>
      <c r="B7" s="28" t="s">
        <v>182</v>
      </c>
      <c r="C7" s="24" t="s">
        <v>107</v>
      </c>
      <c r="D7" s="24" t="s">
        <v>183</v>
      </c>
      <c r="E7" s="25"/>
      <c r="F7" s="19"/>
    </row>
    <row r="8">
      <c r="A8" s="28" t="s">
        <v>184</v>
      </c>
      <c r="B8" s="28" t="s">
        <v>22</v>
      </c>
      <c r="C8" s="24" t="s">
        <v>25</v>
      </c>
      <c r="D8" s="24" t="s">
        <v>26</v>
      </c>
      <c r="E8" s="25"/>
      <c r="F8" s="19"/>
    </row>
    <row r="9">
      <c r="A9" s="28" t="s">
        <v>27</v>
      </c>
      <c r="B9" s="28" t="s">
        <v>185</v>
      </c>
      <c r="C9" s="24" t="s">
        <v>186</v>
      </c>
      <c r="D9" s="24" t="s">
        <v>187</v>
      </c>
      <c r="E9" s="25"/>
      <c r="F9" s="19"/>
    </row>
    <row r="10">
      <c r="A10" s="28" t="s">
        <v>33</v>
      </c>
      <c r="B10" s="28" t="s">
        <v>188</v>
      </c>
      <c r="C10" s="24" t="s">
        <v>189</v>
      </c>
      <c r="D10" s="24" t="s">
        <v>190</v>
      </c>
      <c r="E10" s="25"/>
      <c r="F10" s="19"/>
    </row>
    <row r="11" ht="13.5" customHeight="1">
      <c r="A11" s="28" t="s">
        <v>39</v>
      </c>
      <c r="B11" s="28" t="s">
        <v>40</v>
      </c>
      <c r="C11" s="24" t="s">
        <v>191</v>
      </c>
      <c r="D11" s="24" t="s">
        <v>44</v>
      </c>
      <c r="E11" s="25"/>
      <c r="F11" s="19"/>
    </row>
    <row r="12" ht="13.5" customHeight="1">
      <c r="A12" s="29"/>
      <c r="B12" s="26"/>
      <c r="C12" s="30"/>
      <c r="D12" s="30"/>
      <c r="E12" s="19"/>
      <c r="F12" s="19"/>
    </row>
    <row r="13">
      <c r="A13" s="27" t="s">
        <v>45</v>
      </c>
      <c r="B13" s="8"/>
      <c r="C13" s="8"/>
      <c r="D13" s="8"/>
      <c r="E13" s="19"/>
      <c r="F13" s="19"/>
    </row>
    <row r="14">
      <c r="A14" s="31"/>
      <c r="B14" s="28" t="s">
        <v>69</v>
      </c>
      <c r="C14" s="32" t="s">
        <v>192</v>
      </c>
      <c r="D14" s="24" t="s">
        <v>193</v>
      </c>
      <c r="E14" s="25"/>
      <c r="F14" s="19"/>
    </row>
    <row r="15" ht="13.5" customHeight="1">
      <c r="A15" s="31"/>
      <c r="B15" s="28" t="s">
        <v>16</v>
      </c>
      <c r="C15" s="24" t="s">
        <v>19</v>
      </c>
      <c r="D15" s="24" t="s">
        <v>20</v>
      </c>
      <c r="E15" s="25"/>
      <c r="F15" s="19"/>
    </row>
    <row r="16" ht="13.5" customHeight="1">
      <c r="A16" s="29"/>
      <c r="B16" s="26"/>
      <c r="C16" s="30"/>
      <c r="D16" s="30"/>
      <c r="E16" s="19"/>
      <c r="F16" s="19"/>
    </row>
    <row r="17">
      <c r="A17" s="27" t="s">
        <v>56</v>
      </c>
      <c r="B17" s="8"/>
      <c r="C17" s="8"/>
      <c r="D17" s="8"/>
      <c r="E17" s="19"/>
      <c r="F17" s="19"/>
    </row>
    <row r="18">
      <c r="A18" s="31"/>
      <c r="B18" s="28" t="s">
        <v>57</v>
      </c>
      <c r="C18" s="24" t="s">
        <v>60</v>
      </c>
      <c r="D18" s="24" t="s">
        <v>194</v>
      </c>
      <c r="E18" s="25"/>
      <c r="F18" s="19"/>
    </row>
    <row r="19" ht="13.5" customHeight="1">
      <c r="A19" s="31"/>
      <c r="B19" s="28" t="s">
        <v>166</v>
      </c>
      <c r="C19" s="24" t="s">
        <v>169</v>
      </c>
      <c r="D19" s="24" t="s">
        <v>170</v>
      </c>
      <c r="E19" s="25"/>
      <c r="F19" s="19"/>
    </row>
    <row r="20" ht="13.5" customHeight="1">
      <c r="A20" s="29"/>
      <c r="B20" s="26"/>
      <c r="C20" s="30"/>
      <c r="D20" s="30"/>
      <c r="E20" s="19"/>
      <c r="F20" s="19"/>
    </row>
    <row r="21">
      <c r="A21" s="27" t="s">
        <v>72</v>
      </c>
      <c r="B21" s="8"/>
      <c r="C21" s="8"/>
      <c r="D21" s="8"/>
      <c r="E21" s="19"/>
      <c r="F21" s="19"/>
    </row>
    <row r="22">
      <c r="A22" s="28" t="s">
        <v>73</v>
      </c>
      <c r="B22" s="28" t="s">
        <v>74</v>
      </c>
      <c r="C22" s="24" t="s">
        <v>77</v>
      </c>
      <c r="D22" s="24" t="s">
        <v>78</v>
      </c>
      <c r="E22" s="25"/>
      <c r="F22" s="19"/>
    </row>
    <row r="23">
      <c r="A23" s="28" t="s">
        <v>79</v>
      </c>
      <c r="B23" s="28" t="s">
        <v>195</v>
      </c>
      <c r="C23" s="24" t="s">
        <v>196</v>
      </c>
      <c r="D23" s="24" t="s">
        <v>197</v>
      </c>
      <c r="E23" s="25"/>
      <c r="F23" s="19"/>
    </row>
    <row r="24">
      <c r="A24" s="28" t="s">
        <v>198</v>
      </c>
      <c r="B24" s="28" t="s">
        <v>199</v>
      </c>
      <c r="C24" s="24" t="s">
        <v>200</v>
      </c>
      <c r="D24" s="24" t="s">
        <v>201</v>
      </c>
      <c r="E24" s="25"/>
      <c r="F24" s="19"/>
    </row>
    <row r="25">
      <c r="A25" s="28" t="s">
        <v>91</v>
      </c>
      <c r="B25" s="28" t="s">
        <v>202</v>
      </c>
      <c r="C25" s="24" t="s">
        <v>203</v>
      </c>
      <c r="D25" s="24" t="s">
        <v>204</v>
      </c>
      <c r="E25" s="25"/>
      <c r="F25" s="19"/>
    </row>
    <row r="26">
      <c r="A26" s="28" t="s">
        <v>97</v>
      </c>
      <c r="B26" s="28" t="s">
        <v>205</v>
      </c>
      <c r="C26" s="24" t="s">
        <v>206</v>
      </c>
      <c r="D26" s="24" t="s">
        <v>207</v>
      </c>
      <c r="E26" s="25"/>
      <c r="F26" s="19"/>
    </row>
    <row r="27">
      <c r="A27" s="28" t="s">
        <v>103</v>
      </c>
      <c r="B27" s="28" t="s">
        <v>208</v>
      </c>
      <c r="C27" s="24" t="s">
        <v>209</v>
      </c>
      <c r="D27" s="24" t="s">
        <v>210</v>
      </c>
      <c r="E27" s="25"/>
      <c r="F27" s="19"/>
    </row>
    <row r="28">
      <c r="A28" s="28" t="s">
        <v>109</v>
      </c>
      <c r="B28" s="28" t="s">
        <v>211</v>
      </c>
      <c r="C28" s="24" t="s">
        <v>212</v>
      </c>
      <c r="D28" s="24" t="s">
        <v>213</v>
      </c>
      <c r="E28" s="25"/>
      <c r="F28" s="19"/>
    </row>
    <row r="29">
      <c r="A29" s="28" t="s">
        <v>115</v>
      </c>
      <c r="B29" s="28" t="s">
        <v>214</v>
      </c>
      <c r="C29" s="24" t="s">
        <v>148</v>
      </c>
      <c r="D29" s="24" t="s">
        <v>215</v>
      </c>
      <c r="E29" s="25"/>
      <c r="F29" s="19"/>
    </row>
    <row r="30">
      <c r="A30" s="28" t="s">
        <v>121</v>
      </c>
      <c r="B30" s="28" t="s">
        <v>216</v>
      </c>
      <c r="C30" s="24" t="s">
        <v>217</v>
      </c>
      <c r="D30" s="24" t="s">
        <v>218</v>
      </c>
      <c r="E30" s="25"/>
      <c r="F30" s="19"/>
    </row>
    <row r="31">
      <c r="A31" s="28" t="s">
        <v>127</v>
      </c>
      <c r="B31" s="28" t="s">
        <v>51</v>
      </c>
      <c r="C31" s="24" t="s">
        <v>54</v>
      </c>
      <c r="D31" s="24" t="s">
        <v>55</v>
      </c>
      <c r="E31" s="25"/>
      <c r="F31" s="19"/>
    </row>
    <row r="32" ht="13.5" customHeight="1">
      <c r="A32" s="28" t="s">
        <v>133</v>
      </c>
      <c r="B32" s="28" t="s">
        <v>219</v>
      </c>
      <c r="C32" s="24" t="s">
        <v>66</v>
      </c>
      <c r="D32" s="24" t="s">
        <v>67</v>
      </c>
      <c r="E32" s="25"/>
      <c r="F32" s="19"/>
    </row>
    <row r="33" ht="13.5" customHeight="1">
      <c r="A33" s="26"/>
      <c r="B33" s="26"/>
      <c r="C33" s="30"/>
      <c r="D33" s="26"/>
      <c r="E33" s="19"/>
      <c r="F33" s="19"/>
    </row>
    <row r="34">
      <c r="A34" s="27" t="s">
        <v>139</v>
      </c>
      <c r="B34" s="8"/>
      <c r="C34" s="8"/>
      <c r="D34" s="8"/>
      <c r="E34" s="19"/>
      <c r="F34" s="19"/>
    </row>
    <row r="35">
      <c r="A35" s="31"/>
      <c r="B35" s="28" t="s">
        <v>220</v>
      </c>
      <c r="C35" s="24" t="s">
        <v>13</v>
      </c>
      <c r="D35" s="24" t="s">
        <v>221</v>
      </c>
      <c r="E35" s="25"/>
      <c r="F35" s="19"/>
    </row>
    <row r="36">
      <c r="A36" s="31"/>
      <c r="B36" s="28" t="s">
        <v>222</v>
      </c>
      <c r="C36" s="24" t="s">
        <v>223</v>
      </c>
      <c r="D36" s="24" t="s">
        <v>224</v>
      </c>
      <c r="E36" s="25"/>
      <c r="F36" s="19"/>
    </row>
    <row r="37" ht="13.5" customHeight="1">
      <c r="A37" s="31"/>
      <c r="B37" s="28" t="s">
        <v>225</v>
      </c>
      <c r="C37" s="24" t="s">
        <v>226</v>
      </c>
      <c r="D37" s="24" t="s">
        <v>227</v>
      </c>
      <c r="E37" s="25"/>
      <c r="F37" s="19"/>
    </row>
    <row r="38" ht="13.5" customHeight="1">
      <c r="A38" s="26"/>
      <c r="B38" s="26"/>
      <c r="C38" s="26"/>
      <c r="D38" s="26"/>
      <c r="E38" s="19"/>
      <c r="F38" s="19"/>
    </row>
    <row r="39">
      <c r="A39" s="27" t="s">
        <v>228</v>
      </c>
      <c r="B39" s="8"/>
      <c r="C39" s="8"/>
      <c r="D39" s="8"/>
      <c r="E39" s="19"/>
      <c r="F39" s="19"/>
    </row>
    <row r="40">
      <c r="A40" s="31"/>
      <c r="B40" s="28" t="s">
        <v>229</v>
      </c>
      <c r="C40" s="24" t="s">
        <v>230</v>
      </c>
      <c r="D40" s="24" t="s">
        <v>231</v>
      </c>
      <c r="E40" s="25"/>
      <c r="F40" s="19"/>
    </row>
    <row r="41">
      <c r="A41" s="31"/>
      <c r="B41" s="28" t="s">
        <v>232</v>
      </c>
      <c r="C41" s="24" t="s">
        <v>233</v>
      </c>
      <c r="D41" s="24" t="s">
        <v>234</v>
      </c>
      <c r="E41" s="25"/>
      <c r="F41" s="19"/>
    </row>
    <row r="42" ht="13.5" customHeight="1">
      <c r="A42" s="31"/>
      <c r="B42" s="28" t="s">
        <v>235</v>
      </c>
      <c r="C42" s="24" t="s">
        <v>236</v>
      </c>
      <c r="D42" s="24" t="s">
        <v>237</v>
      </c>
      <c r="E42" s="25"/>
      <c r="F42" s="19"/>
    </row>
    <row r="43" ht="13.5" customHeight="1">
      <c r="A43" s="29"/>
      <c r="B43" s="26"/>
      <c r="C43" s="30"/>
      <c r="D43" s="30"/>
      <c r="E43" s="19"/>
      <c r="F43" s="19"/>
    </row>
    <row r="44">
      <c r="A44" s="27" t="s">
        <v>171</v>
      </c>
      <c r="B44" s="8"/>
      <c r="C44" s="8"/>
      <c r="D44" s="8"/>
      <c r="E44" s="19"/>
      <c r="F44" s="19"/>
    </row>
    <row r="45" ht="13.5" customHeight="1">
      <c r="A45" s="31"/>
      <c r="B45" s="28" t="s">
        <v>3</v>
      </c>
      <c r="C45" s="24" t="s">
        <v>6</v>
      </c>
      <c r="D45" s="24" t="s">
        <v>238</v>
      </c>
      <c r="E45" s="25"/>
      <c r="F45" s="19"/>
    </row>
  </sheetData>
  <mergeCells count="8">
    <mergeCell ref="A1:D1"/>
    <mergeCell ref="A5:D5"/>
    <mergeCell ref="A13:D13"/>
    <mergeCell ref="A17:D17"/>
    <mergeCell ref="A21:D21"/>
    <mergeCell ref="A34:D34"/>
    <mergeCell ref="A39:D39"/>
    <mergeCell ref="A44:D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38"/>
    <col customWidth="1" min="2" max="2" width="21.5"/>
    <col customWidth="1" min="3" max="3" width="17.0"/>
    <col customWidth="1" min="4" max="4" width="27.38"/>
    <col customWidth="1" min="5" max="5" width="12.5"/>
    <col customWidth="1" min="6" max="6" width="19.88"/>
    <col customWidth="1" min="7" max="7" width="8.75"/>
  </cols>
  <sheetData>
    <row r="1" ht="9.0" customHeight="1">
      <c r="A1" s="33" t="s">
        <v>177</v>
      </c>
      <c r="G1" s="19"/>
    </row>
    <row r="2" ht="9.75" customHeight="1">
      <c r="A2" s="2"/>
      <c r="B2" s="34" t="s">
        <v>1</v>
      </c>
      <c r="C2" s="2"/>
      <c r="D2" s="2"/>
      <c r="E2" s="19"/>
      <c r="F2" s="19"/>
      <c r="G2" s="19"/>
    </row>
    <row r="3" ht="9.75" customHeight="1">
      <c r="A3" s="35" t="s">
        <v>2</v>
      </c>
      <c r="B3" s="36" t="s">
        <v>178</v>
      </c>
      <c r="C3" s="36" t="s">
        <v>239</v>
      </c>
      <c r="D3" s="37"/>
      <c r="E3" s="38"/>
      <c r="F3" s="38"/>
      <c r="G3" s="19"/>
    </row>
    <row r="4" ht="9.75" customHeight="1">
      <c r="A4" s="26"/>
      <c r="B4" s="26"/>
      <c r="C4" s="26"/>
      <c r="D4" s="26"/>
      <c r="E4" s="39"/>
      <c r="F4" s="39"/>
      <c r="G4" s="19"/>
    </row>
    <row r="5">
      <c r="A5" s="40" t="s">
        <v>180</v>
      </c>
      <c r="B5" s="8"/>
      <c r="C5" s="8"/>
      <c r="D5" s="8"/>
      <c r="E5" s="8"/>
      <c r="F5" s="8"/>
      <c r="G5" s="38"/>
    </row>
    <row r="6" ht="9.0" customHeight="1">
      <c r="A6" s="41" t="s">
        <v>9</v>
      </c>
      <c r="B6" s="41" t="s">
        <v>240</v>
      </c>
      <c r="C6" s="41" t="s">
        <v>241</v>
      </c>
      <c r="D6" s="35" t="s">
        <v>242</v>
      </c>
      <c r="E6" s="42"/>
      <c r="F6" s="43"/>
      <c r="G6" s="19"/>
    </row>
    <row r="7" ht="9.0" customHeight="1">
      <c r="A7" s="41" t="s">
        <v>15</v>
      </c>
      <c r="B7" s="41" t="s">
        <v>182</v>
      </c>
      <c r="C7" s="41" t="s">
        <v>243</v>
      </c>
      <c r="D7" s="35" t="s">
        <v>244</v>
      </c>
      <c r="E7" s="38"/>
      <c r="F7" s="44"/>
      <c r="G7" s="19"/>
    </row>
    <row r="8" ht="9.0" customHeight="1">
      <c r="A8" s="41" t="s">
        <v>184</v>
      </c>
      <c r="B8" s="41" t="s">
        <v>211</v>
      </c>
      <c r="C8" s="41" t="s">
        <v>245</v>
      </c>
      <c r="D8" s="35" t="s">
        <v>246</v>
      </c>
      <c r="E8" s="38"/>
      <c r="F8" s="44"/>
      <c r="G8" s="19"/>
    </row>
    <row r="9" ht="9.0" customHeight="1">
      <c r="A9" s="41" t="s">
        <v>27</v>
      </c>
      <c r="B9" s="41" t="s">
        <v>247</v>
      </c>
      <c r="C9" s="41" t="s">
        <v>248</v>
      </c>
      <c r="D9" s="35" t="s">
        <v>249</v>
      </c>
      <c r="E9" s="38"/>
      <c r="F9" s="44"/>
      <c r="G9" s="19"/>
    </row>
    <row r="10" ht="9.0" customHeight="1">
      <c r="A10" s="41" t="s">
        <v>33</v>
      </c>
      <c r="B10" s="41" t="s">
        <v>188</v>
      </c>
      <c r="C10" s="41" t="s">
        <v>250</v>
      </c>
      <c r="D10" s="35" t="s">
        <v>251</v>
      </c>
      <c r="E10" s="38"/>
      <c r="F10" s="44"/>
      <c r="G10" s="19"/>
    </row>
    <row r="11" ht="9.75" customHeight="1">
      <c r="A11" s="41" t="s">
        <v>39</v>
      </c>
      <c r="B11" s="41" t="s">
        <v>252</v>
      </c>
      <c r="C11" s="41" t="s">
        <v>253</v>
      </c>
      <c r="D11" s="35" t="s">
        <v>254</v>
      </c>
      <c r="E11" s="38"/>
      <c r="F11" s="44"/>
      <c r="G11" s="19"/>
    </row>
    <row r="12" ht="9.75" customHeight="1">
      <c r="A12" s="26"/>
      <c r="B12" s="26"/>
      <c r="C12" s="26"/>
      <c r="D12" s="26"/>
      <c r="E12" s="39"/>
      <c r="F12" s="39"/>
      <c r="G12" s="19"/>
    </row>
    <row r="13">
      <c r="A13" s="40" t="s">
        <v>45</v>
      </c>
      <c r="B13" s="8"/>
      <c r="C13" s="8"/>
      <c r="D13" s="8"/>
      <c r="E13" s="8"/>
      <c r="F13" s="8"/>
      <c r="G13" s="38"/>
    </row>
    <row r="14" ht="9.0" customHeight="1">
      <c r="A14" s="45"/>
      <c r="B14" s="41" t="s">
        <v>57</v>
      </c>
      <c r="C14" s="41" t="s">
        <v>255</v>
      </c>
      <c r="D14" s="35" t="s">
        <v>256</v>
      </c>
      <c r="E14" s="42"/>
      <c r="F14" s="43"/>
      <c r="G14" s="19"/>
    </row>
    <row r="15" ht="9.75" customHeight="1">
      <c r="A15" s="45"/>
      <c r="B15" s="41" t="s">
        <v>22</v>
      </c>
      <c r="C15" s="41" t="s">
        <v>23</v>
      </c>
      <c r="D15" s="35" t="s">
        <v>257</v>
      </c>
      <c r="E15" s="38"/>
      <c r="F15" s="44"/>
      <c r="G15" s="19"/>
    </row>
    <row r="16" ht="9.75" customHeight="1">
      <c r="A16" s="26"/>
      <c r="B16" s="26"/>
      <c r="C16" s="26"/>
      <c r="D16" s="26"/>
      <c r="E16" s="39"/>
      <c r="F16" s="39"/>
      <c r="G16" s="19"/>
    </row>
    <row r="17">
      <c r="A17" s="40" t="s">
        <v>56</v>
      </c>
      <c r="B17" s="8"/>
      <c r="C17" s="8"/>
      <c r="D17" s="8"/>
      <c r="E17" s="8"/>
      <c r="F17" s="8"/>
      <c r="G17" s="38"/>
    </row>
    <row r="18" ht="9.0" customHeight="1">
      <c r="A18" s="45"/>
      <c r="B18" s="41" t="s">
        <v>258</v>
      </c>
      <c r="C18" s="41" t="s">
        <v>259</v>
      </c>
      <c r="D18" s="35" t="s">
        <v>260</v>
      </c>
      <c r="E18" s="42"/>
      <c r="F18" s="42"/>
      <c r="G18" s="19"/>
    </row>
    <row r="19" ht="9.75" customHeight="1">
      <c r="A19" s="45"/>
      <c r="B19" s="41" t="s">
        <v>261</v>
      </c>
      <c r="C19" s="41" t="s">
        <v>262</v>
      </c>
      <c r="D19" s="35" t="s">
        <v>263</v>
      </c>
      <c r="E19" s="38"/>
      <c r="F19" s="38"/>
      <c r="G19" s="19"/>
    </row>
    <row r="20" ht="9.75" customHeight="1">
      <c r="A20" s="26"/>
      <c r="B20" s="26"/>
      <c r="C20" s="26"/>
      <c r="D20" s="26"/>
      <c r="E20" s="39"/>
      <c r="F20" s="39"/>
      <c r="G20" s="19"/>
    </row>
    <row r="21">
      <c r="A21" s="40" t="s">
        <v>72</v>
      </c>
      <c r="B21" s="8"/>
      <c r="C21" s="8"/>
      <c r="D21" s="8"/>
      <c r="E21" s="8"/>
      <c r="F21" s="8"/>
      <c r="G21" s="25"/>
    </row>
    <row r="22" ht="9.0" customHeight="1">
      <c r="A22" s="41" t="s">
        <v>73</v>
      </c>
      <c r="B22" s="41" t="s">
        <v>74</v>
      </c>
      <c r="C22" s="41" t="s">
        <v>264</v>
      </c>
      <c r="D22" s="35" t="s">
        <v>265</v>
      </c>
      <c r="E22" s="42"/>
      <c r="F22" s="43"/>
      <c r="G22" s="19"/>
    </row>
    <row r="23" ht="9.0" customHeight="1">
      <c r="A23" s="41" t="s">
        <v>79</v>
      </c>
      <c r="B23" s="41" t="s">
        <v>266</v>
      </c>
      <c r="C23" s="41" t="s">
        <v>267</v>
      </c>
      <c r="D23" s="35" t="s">
        <v>268</v>
      </c>
      <c r="E23" s="38"/>
      <c r="F23" s="44"/>
      <c r="G23" s="19"/>
    </row>
    <row r="24" ht="9.0" customHeight="1">
      <c r="A24" s="41" t="s">
        <v>198</v>
      </c>
      <c r="B24" s="41" t="s">
        <v>199</v>
      </c>
      <c r="C24" s="41" t="s">
        <v>269</v>
      </c>
      <c r="D24" s="35" t="s">
        <v>270</v>
      </c>
      <c r="E24" s="38"/>
      <c r="F24" s="44"/>
      <c r="G24" s="19"/>
    </row>
    <row r="25" ht="9.0" customHeight="1">
      <c r="A25" s="41" t="s">
        <v>91</v>
      </c>
      <c r="B25" s="41" t="s">
        <v>271</v>
      </c>
      <c r="C25" s="41" t="s">
        <v>272</v>
      </c>
      <c r="D25" s="35" t="s">
        <v>273</v>
      </c>
      <c r="E25" s="38"/>
      <c r="F25" s="44"/>
      <c r="G25" s="19"/>
    </row>
    <row r="26" ht="9.0" customHeight="1">
      <c r="A26" s="41" t="s">
        <v>97</v>
      </c>
      <c r="B26" s="41" t="s">
        <v>274</v>
      </c>
      <c r="C26" s="41" t="s">
        <v>275</v>
      </c>
      <c r="D26" s="35" t="s">
        <v>276</v>
      </c>
      <c r="E26" s="38"/>
      <c r="F26" s="44"/>
      <c r="G26" s="19"/>
    </row>
    <row r="27" ht="9.0" customHeight="1">
      <c r="A27" s="41" t="s">
        <v>103</v>
      </c>
      <c r="B27" s="41" t="s">
        <v>208</v>
      </c>
      <c r="C27" s="41" t="s">
        <v>277</v>
      </c>
      <c r="D27" s="35" t="s">
        <v>278</v>
      </c>
      <c r="E27" s="38"/>
      <c r="F27" s="38"/>
      <c r="G27" s="19"/>
    </row>
    <row r="28" ht="9.0" customHeight="1">
      <c r="A28" s="41" t="s">
        <v>109</v>
      </c>
      <c r="B28" s="41" t="s">
        <v>279</v>
      </c>
      <c r="C28" s="41" t="s">
        <v>280</v>
      </c>
      <c r="D28" s="35" t="s">
        <v>281</v>
      </c>
      <c r="E28" s="38"/>
      <c r="F28" s="38"/>
      <c r="G28" s="19"/>
    </row>
    <row r="29" ht="9.0" customHeight="1">
      <c r="A29" s="41" t="s">
        <v>115</v>
      </c>
      <c r="B29" s="41" t="s">
        <v>282</v>
      </c>
      <c r="C29" s="41" t="s">
        <v>283</v>
      </c>
      <c r="D29" s="35" t="s">
        <v>284</v>
      </c>
      <c r="E29" s="38"/>
      <c r="F29" s="44"/>
      <c r="G29" s="19"/>
    </row>
    <row r="30" ht="9.0" customHeight="1">
      <c r="A30" s="41" t="s">
        <v>121</v>
      </c>
      <c r="B30" s="41" t="s">
        <v>216</v>
      </c>
      <c r="C30" s="41" t="s">
        <v>285</v>
      </c>
      <c r="D30" s="35" t="s">
        <v>286</v>
      </c>
      <c r="E30" s="38"/>
      <c r="F30" s="44"/>
      <c r="G30" s="19"/>
    </row>
    <row r="31" ht="9.0" customHeight="1">
      <c r="A31" s="41" t="s">
        <v>127</v>
      </c>
      <c r="B31" s="41" t="s">
        <v>195</v>
      </c>
      <c r="C31" s="41" t="s">
        <v>287</v>
      </c>
      <c r="D31" s="35" t="s">
        <v>288</v>
      </c>
      <c r="E31" s="38"/>
      <c r="F31" s="44"/>
      <c r="G31" s="19"/>
    </row>
    <row r="32" ht="9.75" customHeight="1">
      <c r="A32" s="41" t="s">
        <v>133</v>
      </c>
      <c r="B32" s="41" t="s">
        <v>289</v>
      </c>
      <c r="C32" s="41" t="s">
        <v>290</v>
      </c>
      <c r="D32" s="35" t="s">
        <v>291</v>
      </c>
      <c r="E32" s="38"/>
      <c r="F32" s="44"/>
      <c r="G32" s="19"/>
    </row>
    <row r="33" ht="9.75" customHeight="1">
      <c r="A33" s="26"/>
      <c r="B33" s="26"/>
      <c r="C33" s="26"/>
      <c r="D33" s="26"/>
      <c r="E33" s="39"/>
      <c r="F33" s="39"/>
      <c r="G33" s="19"/>
    </row>
    <row r="34">
      <c r="A34" s="40" t="s">
        <v>139</v>
      </c>
      <c r="B34" s="8"/>
      <c r="C34" s="8"/>
      <c r="D34" s="8"/>
      <c r="E34" s="8"/>
      <c r="F34" s="8"/>
      <c r="G34" s="38"/>
    </row>
    <row r="35" ht="9.0" customHeight="1">
      <c r="A35" s="45"/>
      <c r="B35" s="41" t="s">
        <v>292</v>
      </c>
      <c r="C35" s="41" t="s">
        <v>293</v>
      </c>
      <c r="D35" s="35" t="s">
        <v>294</v>
      </c>
      <c r="E35" s="42"/>
      <c r="F35" s="43"/>
      <c r="G35" s="19"/>
    </row>
    <row r="36" ht="9.0" customHeight="1">
      <c r="A36" s="45"/>
      <c r="B36" s="41" t="s">
        <v>222</v>
      </c>
      <c r="C36" s="41" t="s">
        <v>295</v>
      </c>
      <c r="D36" s="35" t="s">
        <v>296</v>
      </c>
      <c r="E36" s="38"/>
      <c r="F36" s="44"/>
      <c r="G36" s="19"/>
    </row>
    <row r="37" ht="9.75" customHeight="1">
      <c r="A37" s="45"/>
      <c r="B37" s="41" t="s">
        <v>297</v>
      </c>
      <c r="C37" s="41" t="s">
        <v>298</v>
      </c>
      <c r="D37" s="35" t="s">
        <v>299</v>
      </c>
      <c r="E37" s="38"/>
      <c r="F37" s="44"/>
      <c r="G37" s="19"/>
    </row>
    <row r="38" ht="9.75" customHeight="1">
      <c r="A38" s="26"/>
      <c r="B38" s="26"/>
      <c r="C38" s="26"/>
      <c r="D38" s="26"/>
      <c r="E38" s="39"/>
      <c r="F38" s="39"/>
      <c r="G38" s="19"/>
    </row>
    <row r="39">
      <c r="A39" s="40" t="s">
        <v>228</v>
      </c>
      <c r="B39" s="8"/>
      <c r="C39" s="8"/>
      <c r="D39" s="8"/>
      <c r="E39" s="8"/>
      <c r="F39" s="8"/>
      <c r="G39" s="38"/>
    </row>
    <row r="40" ht="9.0" customHeight="1">
      <c r="A40" s="45"/>
      <c r="B40" s="41" t="s">
        <v>300</v>
      </c>
      <c r="C40" s="41" t="s">
        <v>301</v>
      </c>
      <c r="D40" s="46"/>
      <c r="E40" s="42"/>
      <c r="F40" s="42"/>
      <c r="G40" s="19"/>
    </row>
    <row r="41" ht="9.0" customHeight="1">
      <c r="A41" s="45"/>
      <c r="B41" s="41" t="s">
        <v>40</v>
      </c>
      <c r="C41" s="41" t="s">
        <v>41</v>
      </c>
      <c r="D41" s="35" t="s">
        <v>302</v>
      </c>
      <c r="E41" s="38"/>
      <c r="F41" s="44"/>
      <c r="G41" s="19"/>
    </row>
    <row r="42" ht="9.75" customHeight="1">
      <c r="A42" s="45"/>
      <c r="B42" s="41" t="s">
        <v>303</v>
      </c>
      <c r="C42" s="41" t="s">
        <v>304</v>
      </c>
      <c r="D42" s="35" t="s">
        <v>305</v>
      </c>
      <c r="E42" s="38"/>
      <c r="F42" s="44"/>
      <c r="G42" s="19"/>
    </row>
    <row r="43" ht="9.75" customHeight="1">
      <c r="A43" s="26"/>
      <c r="B43" s="26"/>
      <c r="C43" s="26"/>
      <c r="D43" s="26"/>
      <c r="E43" s="39"/>
      <c r="F43" s="39"/>
      <c r="G43" s="38"/>
    </row>
    <row r="44">
      <c r="A44" s="40" t="s">
        <v>171</v>
      </c>
      <c r="B44" s="8"/>
      <c r="C44" s="8"/>
      <c r="D44" s="8"/>
      <c r="E44" s="8"/>
      <c r="F44" s="8"/>
      <c r="G44" s="38"/>
    </row>
    <row r="45" ht="9.75" customHeight="1">
      <c r="A45" s="45"/>
      <c r="B45" s="41" t="s">
        <v>3</v>
      </c>
      <c r="C45" s="41" t="s">
        <v>306</v>
      </c>
      <c r="D45" s="35" t="s">
        <v>307</v>
      </c>
      <c r="E45" s="42"/>
      <c r="F45" s="43"/>
      <c r="G45" s="19"/>
    </row>
  </sheetData>
  <mergeCells count="8">
    <mergeCell ref="A1:F1"/>
    <mergeCell ref="A5:F5"/>
    <mergeCell ref="A13:F13"/>
    <mergeCell ref="A17:F17"/>
    <mergeCell ref="A21:F21"/>
    <mergeCell ref="A34:F34"/>
    <mergeCell ref="A39:F39"/>
    <mergeCell ref="A44:F44"/>
  </mergeCells>
  <drawing r:id="rId1"/>
</worksheet>
</file>