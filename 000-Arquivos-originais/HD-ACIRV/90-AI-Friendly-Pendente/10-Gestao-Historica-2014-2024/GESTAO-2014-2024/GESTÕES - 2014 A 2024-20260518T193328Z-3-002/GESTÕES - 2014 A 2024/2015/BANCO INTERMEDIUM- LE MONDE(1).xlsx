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60" windowHeight="7755"/>
  </bookViews>
  <sheets>
    <sheet name="LEVANTAMENTO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B20" i="1"/>
  <c r="C13" i="1"/>
  <c r="D13" i="1"/>
  <c r="B15" i="1" l="1"/>
  <c r="B31" i="1" s="1"/>
</calcChain>
</file>

<file path=xl/sharedStrings.xml><?xml version="1.0" encoding="utf-8"?>
<sst xmlns="http://schemas.openxmlformats.org/spreadsheetml/2006/main" count="31" uniqueCount="26">
  <si>
    <t>VALOR</t>
  </si>
  <si>
    <t>FUNDO DE RESERVA</t>
  </si>
  <si>
    <t>DESPESA COM ELEVADOR</t>
  </si>
  <si>
    <t>DATA VENC-BOLETO</t>
  </si>
  <si>
    <t>Não foi cobrado</t>
  </si>
  <si>
    <t>PARCELAS</t>
  </si>
  <si>
    <t>1ª</t>
  </si>
  <si>
    <t>2ª</t>
  </si>
  <si>
    <t>3ª</t>
  </si>
  <si>
    <t>4ª</t>
  </si>
  <si>
    <t>TOTAL</t>
  </si>
  <si>
    <t>ALUGUEL SALA 19</t>
  </si>
  <si>
    <t>LEVANTAMENTO- EDIFICIO LE MONDE SALA 19</t>
  </si>
  <si>
    <t>REAJUSTE</t>
  </si>
  <si>
    <t>MESES</t>
  </si>
  <si>
    <t>MAIO</t>
  </si>
  <si>
    <t>JUNHO</t>
  </si>
  <si>
    <t>JULHO</t>
  </si>
  <si>
    <t>AGOSTO</t>
  </si>
  <si>
    <t>DIFERENÇA A RECEBER</t>
  </si>
  <si>
    <t>DESPESA TOTAL (A PAGAR)</t>
  </si>
  <si>
    <t>TOTAL DE REAJUSTE (A RECEBER)</t>
  </si>
  <si>
    <t>5ª</t>
  </si>
  <si>
    <t>LOCATÁRIO: BANCO INTERMEDIUM</t>
  </si>
  <si>
    <t>INDICE IGPM 2015</t>
  </si>
  <si>
    <t>REAJUSTE EM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</si>
</sst>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4" fontId="0" fillId="0" borderId="1" xfId="0" applyNumberFormat="1" applyBorder="1"/>
    <xf numFmtId="0" fontId="2" fillId="0" borderId="0" xfId="0" applyFont="1"/>
    <xf numFmtId="44" fontId="2" fillId="0" borderId="0" xfId="0" applyNumberFormat="1" applyFont="1"/>
    <xf numFmtId="10" fontId="0" fillId="0" borderId="1" xfId="0" applyNumberFormat="1" applyBorder="1"/>
    <xf numFmtId="0" fontId="2" fillId="0" borderId="1" xfId="0" applyFont="1" applyBorder="1"/>
    <xf numFmtId="44" fontId="2" fillId="0" borderId="1" xfId="0" applyNumberFormat="1" applyFont="1" applyBorder="1"/>
    <xf numFmtId="0" fontId="3" fillId="0" borderId="1" xfId="0" applyFont="1" applyBorder="1"/>
    <xf numFmtId="44" fontId="3" fillId="0" borderId="1" xfId="0" applyNumberFormat="1" applyFont="1" applyBorder="1"/>
    <xf numFmtId="14" fontId="0" fillId="0" borderId="2" xfId="0" applyNumberFormat="1" applyBorder="1"/>
    <xf numFmtId="44" fontId="0" fillId="0" borderId="3" xfId="1" applyFont="1" applyBorder="1"/>
    <xf numFmtId="0" fontId="0" fillId="2" borderId="0" xfId="0" applyFill="1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13" zoomScaleNormal="100" workbookViewId="0">
      <selection activeCell="C27" sqref="C26:C27"/>
    </sheetView>
  </sheetViews>
  <sheetFormatPr defaultRowHeight="15" x14ac:dyDescent="0.25"/>
  <cols>
    <col min="1" max="1" width="47.28515625" customWidth="1"/>
    <col min="2" max="2" width="21.28515625" customWidth="1"/>
    <col min="3" max="3" width="20.42578125" customWidth="1"/>
    <col min="4" max="4" width="23.85546875" customWidth="1"/>
    <col min="5" max="5" width="13.7109375" customWidth="1"/>
  </cols>
  <sheetData>
    <row r="1" spans="1:5" x14ac:dyDescent="0.25">
      <c r="A1" s="19"/>
      <c r="B1" s="20" t="s">
        <v>23</v>
      </c>
      <c r="C1" s="19"/>
      <c r="D1" s="19"/>
      <c r="E1" s="19"/>
    </row>
    <row r="3" spans="1:5" x14ac:dyDescent="0.25">
      <c r="A3" s="21" t="s">
        <v>12</v>
      </c>
      <c r="B3" s="22"/>
      <c r="C3" s="22"/>
      <c r="D3" s="22"/>
      <c r="E3" s="3"/>
    </row>
    <row r="4" spans="1:5" x14ac:dyDescent="0.25">
      <c r="A4" s="1" t="s">
        <v>3</v>
      </c>
      <c r="B4" s="1" t="s">
        <v>0</v>
      </c>
      <c r="C4" s="1" t="s">
        <v>1</v>
      </c>
      <c r="D4" s="1" t="s">
        <v>2</v>
      </c>
      <c r="E4" s="8" t="s">
        <v>5</v>
      </c>
    </row>
    <row r="5" spans="1:5" x14ac:dyDescent="0.25">
      <c r="A5" s="2">
        <v>42060</v>
      </c>
      <c r="B5" s="5">
        <v>760.35</v>
      </c>
      <c r="C5" s="4" t="s">
        <v>4</v>
      </c>
      <c r="D5" s="4" t="s">
        <v>4</v>
      </c>
      <c r="E5" s="4"/>
    </row>
    <row r="6" spans="1:5" x14ac:dyDescent="0.25">
      <c r="A6" s="2">
        <v>42079</v>
      </c>
      <c r="B6" s="5">
        <v>760.35</v>
      </c>
      <c r="C6" s="4" t="s">
        <v>4</v>
      </c>
      <c r="D6" s="4" t="s">
        <v>4</v>
      </c>
      <c r="E6" s="4"/>
    </row>
    <row r="7" spans="1:5" x14ac:dyDescent="0.25">
      <c r="A7" s="2">
        <v>42107</v>
      </c>
      <c r="B7" s="5">
        <v>760.35</v>
      </c>
      <c r="C7" s="4" t="s">
        <v>4</v>
      </c>
      <c r="D7" s="6">
        <v>37.43</v>
      </c>
      <c r="E7" s="4" t="s">
        <v>6</v>
      </c>
    </row>
    <row r="8" spans="1:5" x14ac:dyDescent="0.25">
      <c r="A8" s="2">
        <v>42144</v>
      </c>
      <c r="B8" s="5">
        <v>562.99</v>
      </c>
      <c r="C8" s="4" t="s">
        <v>4</v>
      </c>
      <c r="D8" s="6">
        <v>37.43</v>
      </c>
      <c r="E8" s="4" t="s">
        <v>7</v>
      </c>
    </row>
    <row r="9" spans="1:5" x14ac:dyDescent="0.25">
      <c r="A9" s="2">
        <v>42165</v>
      </c>
      <c r="B9" s="5">
        <v>626.87</v>
      </c>
      <c r="C9" s="6">
        <v>29.85</v>
      </c>
      <c r="D9" s="6">
        <v>37.42</v>
      </c>
      <c r="E9" s="4" t="s">
        <v>8</v>
      </c>
    </row>
    <row r="10" spans="1:5" x14ac:dyDescent="0.25">
      <c r="A10" s="2">
        <v>42195</v>
      </c>
      <c r="B10" s="5">
        <v>585.48</v>
      </c>
      <c r="C10" s="6">
        <v>27.88</v>
      </c>
      <c r="D10" s="6">
        <v>37.42</v>
      </c>
      <c r="E10" s="4" t="s">
        <v>9</v>
      </c>
    </row>
    <row r="11" spans="1:5" x14ac:dyDescent="0.25">
      <c r="A11" s="17">
        <v>42226</v>
      </c>
      <c r="B11" s="18">
        <v>557.6</v>
      </c>
      <c r="C11" s="6">
        <v>26.55</v>
      </c>
      <c r="D11" s="6">
        <v>37.42</v>
      </c>
      <c r="E11" s="7" t="s">
        <v>22</v>
      </c>
    </row>
    <row r="12" spans="1:5" x14ac:dyDescent="0.25">
      <c r="A12" s="23"/>
      <c r="B12" s="24"/>
      <c r="C12" s="6"/>
      <c r="D12" s="5"/>
      <c r="E12" s="4"/>
    </row>
    <row r="13" spans="1:5" x14ac:dyDescent="0.25">
      <c r="A13" s="3" t="s">
        <v>10</v>
      </c>
      <c r="B13" s="3"/>
      <c r="C13" s="9">
        <f>SUM(C9:C12)</f>
        <v>84.28</v>
      </c>
      <c r="D13" s="9">
        <f>SUM(D7:D12)</f>
        <v>187.12</v>
      </c>
      <c r="E13" s="3"/>
    </row>
    <row r="15" spans="1:5" x14ac:dyDescent="0.25">
      <c r="A15" s="10" t="s">
        <v>20</v>
      </c>
      <c r="B15" s="11">
        <f>C13+D13</f>
        <v>271.39999999999998</v>
      </c>
    </row>
    <row r="18" spans="1:2" x14ac:dyDescent="0.25">
      <c r="A18" s="13" t="s">
        <v>11</v>
      </c>
      <c r="B18" s="5">
        <v>2500</v>
      </c>
    </row>
    <row r="19" spans="1:2" x14ac:dyDescent="0.25">
      <c r="A19" s="13" t="s">
        <v>24</v>
      </c>
      <c r="B19" s="12">
        <v>3.5499999999999997E-2</v>
      </c>
    </row>
    <row r="20" spans="1:2" x14ac:dyDescent="0.25">
      <c r="A20" s="13" t="s">
        <v>13</v>
      </c>
      <c r="B20" s="9">
        <f>B18*B19</f>
        <v>88.749999999999986</v>
      </c>
    </row>
    <row r="21" spans="1:2" x14ac:dyDescent="0.25">
      <c r="A21" s="13"/>
      <c r="B21" s="3"/>
    </row>
    <row r="22" spans="1:2" x14ac:dyDescent="0.25">
      <c r="A22" s="13" t="s">
        <v>14</v>
      </c>
      <c r="B22" s="13" t="s">
        <v>25</v>
      </c>
    </row>
    <row r="23" spans="1:2" x14ac:dyDescent="0.25">
      <c r="A23" s="13" t="s">
        <v>15</v>
      </c>
      <c r="B23" s="5">
        <v>88.75</v>
      </c>
    </row>
    <row r="24" spans="1:2" x14ac:dyDescent="0.25">
      <c r="A24" s="13" t="s">
        <v>16</v>
      </c>
      <c r="B24" s="5">
        <v>88.75</v>
      </c>
    </row>
    <row r="25" spans="1:2" x14ac:dyDescent="0.25">
      <c r="A25" s="13" t="s">
        <v>17</v>
      </c>
      <c r="B25" s="5">
        <v>88.75</v>
      </c>
    </row>
    <row r="26" spans="1:2" x14ac:dyDescent="0.25">
      <c r="A26" s="13" t="s">
        <v>18</v>
      </c>
      <c r="B26" s="5">
        <v>88.75</v>
      </c>
    </row>
    <row r="27" spans="1:2" x14ac:dyDescent="0.25">
      <c r="A27" s="13"/>
      <c r="B27" s="3"/>
    </row>
    <row r="28" spans="1:2" x14ac:dyDescent="0.25">
      <c r="A28" s="13" t="s">
        <v>21</v>
      </c>
      <c r="B28" s="14">
        <f>SUM(B23:B27)</f>
        <v>355</v>
      </c>
    </row>
    <row r="31" spans="1:2" ht="15.75" x14ac:dyDescent="0.25">
      <c r="A31" s="15" t="s">
        <v>19</v>
      </c>
      <c r="B31" s="16">
        <f>B28-B15</f>
        <v>83.600000000000023</v>
      </c>
    </row>
  </sheetData>
  <mergeCells count="2">
    <mergeCell ref="A3:D3"/>
    <mergeCell ref="A12:B12"/>
  </mergeCells>
  <pageMargins left="0.511811024" right="0.511811024" top="0.78740157499999996" bottom="0.78740157499999996" header="0.31496062000000002" footer="0.31496062000000002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LEVANTAMENTO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diretor</cp:lastModifiedBy>
  <cp:lastPrinted>2015-07-28T20:52:04Z</cp:lastPrinted>
  <dcterms:created xsi:type="dcterms:W3CDTF">2015-07-27T18:02:44Z</dcterms:created>
  <dcterms:modified xsi:type="dcterms:W3CDTF">2015-08-06T19:46:01Z</dcterms:modified>
</cp:coreProperties>
</file>