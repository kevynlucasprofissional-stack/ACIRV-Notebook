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bf2c01f147453a" /></Relationships>
</file>

<file path=xl/workbook.xml><?xml version="1.0" encoding="utf-8"?>
<x:workbook xmlns:x="http://schemas.openxmlformats.org/spreadsheetml/2006/main">
  <x:sheets>
    <x:sheet xmlns:r="http://schemas.openxmlformats.org/officeDocument/2006/relationships" name="Resumo Executivo" sheetId="1" r:id="Rc2fc196f23e34b3e"/>
    <x:sheet xmlns:r="http://schemas.openxmlformats.org/officeDocument/2006/relationships" name="Visao Geral" sheetId="2" r:id="Rd617930fe5e64280"/>
    <x:sheet xmlns:r="http://schemas.openxmlformats.org/officeDocument/2006/relationships" name="Arquivos Prioritarios" sheetId="3" r:id="R0033731ccb39440e"/>
    <x:sheet xmlns:r="http://schemas.openxmlformats.org/officeDocument/2006/relationships" name="Estrutura Google Sheets" sheetId="4" r:id="R769ceb080e2943f4"/>
    <x:sheet xmlns:r="http://schemas.openxmlformats.org/officeDocument/2006/relationships" name="Fontes Lidas" sheetId="5" r:id="Rf32b90e963cb4474"/>
    <x:sheet xmlns:r="http://schemas.openxmlformats.org/officeDocument/2006/relationships" name="KPIs Mensais Oficiais" sheetId="6" r:id="Rb58b88e54de44009"/>
    <x:sheet xmlns:r="http://schemas.openxmlformats.org/officeDocument/2006/relationships" name="Mídia Paga" sheetId="7" r:id="R11c21559c5484e4d"/>
    <x:sheet xmlns:r="http://schemas.openxmlformats.org/officeDocument/2006/relationships" name="Instagram 84 Posts" sheetId="8" r:id="R4e98cbf1831e4f9a"/>
    <x:sheet xmlns:r="http://schemas.openxmlformats.org/officeDocument/2006/relationships" name="Top Conteúdos 84" sheetId="9" r:id="Rd664f14ddc6943bb"/>
    <x:sheet xmlns:r="http://schemas.openxmlformats.org/officeDocument/2006/relationships" name="Instagram 200 Posts" sheetId="10" r:id="R3b03d6d547344e69"/>
    <x:sheet xmlns:r="http://schemas.openxmlformats.org/officeDocument/2006/relationships" name="Instagram 200 Mensal" sheetId="11" r:id="R2e7386ee418f43cc"/>
    <x:sheet xmlns:r="http://schemas.openxmlformats.org/officeDocument/2006/relationships" name="Instagram 90d Resumo" sheetId="12" r:id="Re1bc966528f342e1"/>
    <x:sheet xmlns:r="http://schemas.openxmlformats.org/officeDocument/2006/relationships" name="Instagram 90d Demografia" sheetId="13" r:id="Rfa104476074b4628"/>
    <x:sheet xmlns:r="http://schemas.openxmlformats.org/officeDocument/2006/relationships" name="Instagram 90d Atividade" sheetId="14" r:id="R2ed1c5d07f894f35"/>
    <x:sheet xmlns:r="http://schemas.openxmlformats.org/officeDocument/2006/relationships" name="Instagram Atividade Mensal" sheetId="15" r:id="R2e8f01ebd0434262"/>
    <x:sheet xmlns:r="http://schemas.openxmlformats.org/officeDocument/2006/relationships" name="Instagram Seguidores Dia" sheetId="16" r:id="R3f41d5bd52924ad6"/>
    <x:sheet xmlns:r="http://schemas.openxmlformats.org/officeDocument/2006/relationships" name="Conecta 5 Presença" sheetId="17" r:id="R1cddf7e4ecd24ba0"/>
    <x:sheet xmlns:r="http://schemas.openxmlformats.org/officeDocument/2006/relationships" name="Metas 2026" sheetId="18" r:id="Rfee46178ab0c4051"/>
    <x:sheet xmlns:r="http://schemas.openxmlformats.org/officeDocument/2006/relationships" name="Diagnóstico 84 Posts" sheetId="19" r:id="R9614728acf1f4e4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quot;R$ &quot;#,##0.00"/>
    <x:numFmt numFmtId="165" formatCode="0.0%"/>
    <x:numFmt numFmtId="166" formatCode="dd/mm/yyyy"/>
    <x:numFmt numFmtId="167" formatCode="&quot;R$&quot; #,##0.00"/>
  </x:numFmts>
  <x:fonts count="17">
    <x:font>
      <x:sz val="10"/>
      <x:name val="Arial"/>
      <x:family val="2"/>
    </x:font>
    <x:font>
      <x:sz val="10"/>
      <x:name val="Arial"/>
    </x:font>
    <x:font>
      <x:sz val="10"/>
      <x:name val="Arial"/>
    </x:font>
    <x:font>
      <x:sz val="10"/>
      <x:name val="Arial"/>
    </x:font>
    <x:font>
      <x:sz val="11"/>
      <x:color theme="1"/>
      <x:name val="Calibri"/>
      <x:family val="2"/>
    </x:font>
    <x:font>
      <x:b/>
      <x:sz val="18"/>
      <x:color rgb="FF1F4E78"/>
      <x:name val="Cambria"/>
    </x:font>
    <x:font>
      <x:sz val="9"/>
      <x:color rgb="FF000000"/>
      <x:name val="Cambria"/>
    </x:font>
    <x:font>
      <x:b/>
      <x:sz val="11"/>
      <x:color rgb="FFFFFFFF"/>
      <x:name val="Cambria"/>
    </x:font>
    <x:font>
      <x:b/>
      <x:sz val="11"/>
      <x:color rgb="FF000000"/>
      <x:name val="Cambria"/>
    </x:font>
    <x:font>
      <x:sz val="10"/>
      <x:color rgb="FF000000"/>
      <x:name val="Cambria"/>
    </x:font>
    <x:font>
      <x:b/>
      <x:sz val="16"/>
      <x:color rgb="FF1F4E78"/>
      <x:name val="Cambria"/>
    </x:font>
    <x:font>
      <x:u val="single"/>
      <x:sz val="10"/>
      <x:color rgb="FF0563C1"/>
      <x:name val="Cambria"/>
    </x:font>
    <x:font>
      <x:b/>
      <x:sz val="18"/>
      <x:color rgb="FF1F4E78"/>
      <x:name val="Calibri"/>
    </x:font>
    <x:font>
      <x:sz val="9"/>
      <x:color rgb="FF000000"/>
      <x:name val="Calibri"/>
    </x:font>
    <x:font>
      <x:b/>
      <x:sz val="11"/>
      <x:color rgb="FFFFFFFF"/>
      <x:name val="Calibri"/>
    </x:font>
    <x:font>
      <x:b/>
      <x:sz val="10"/>
      <x:color rgb="FF000000"/>
      <x:name val="Calibri"/>
    </x:font>
    <x:font>
      <x:sz val="10"/>
      <x:color rgb="FF000000"/>
      <x:name val="Calibri"/>
    </x:font>
  </x:fonts>
  <x:fills count="13">
    <x:fill>
      <x:patternFill patternType="none"/>
    </x:fill>
    <x:fill>
      <x:patternFill patternType="gray125"/>
    </x:fill>
    <x:fill>
      <x:patternFill patternType="solid">
        <x:fgColor rgb="FF1F4E78"/>
      </x:patternFill>
    </x:fill>
    <x:fill>
      <x:patternFill patternType="solid">
        <x:fgColor rgb="FFD9F0F0"/>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2F2F2"/>
      </x:patternFill>
    </x:fill>
    <x:fill>
      <x:patternFill patternType="solid">
        <x:fgColor rgb="FFFDE9E7"/>
      </x:patternFill>
    </x:fill>
    <x:fill>
      <x:patternFill patternType="solid">
        <x:fgColor rgb="FF1F4E78"/>
      </x:patternFill>
    </x:fill>
    <x:fill>
      <x:patternFill patternType="solid">
        <x:fgColor rgb="FFD9F0F0"/>
      </x:patternFill>
    </x:fill>
    <x:fill>
      <x:patternFill patternType="solid">
        <x:fgColor rgb="FFF2F2F2"/>
      </x:patternFill>
    </x:fill>
    <x:fill>
      <x:patternFill patternType="solid">
        <x:fgColor rgb="FFFCE4D6"/>
      </x:patternFill>
    </x:fill>
  </x:fills>
  <x:borders count="8">
    <x:border>
      <x:left/>
      <x:right/>
      <x:top/>
      <x:bottom/>
      <x:diagonal/>
    </x:border>
    <x:border>
      <x:left style="thin">
        <x:color rgb="FFD9D9D9"/>
      </x:left>
      <x:right style="thin">
        <x:color rgb="FFD9D9D9"/>
      </x:right>
      <x:top style="thin">
        <x:color rgb="FFD9D9D9"/>
      </x:top>
      <x:bottom style="thin">
        <x:color rgb="FFD9D9D9"/>
      </x:bottom>
      <x:diagonal/>
    </x:border>
    <x:border>
      <x:left/>
      <x:right/>
      <x:top/>
      <x:bottom style="thin">
        <x:color rgb="FFD9D9D9"/>
      </x:bottom>
      <x:diagonal/>
    </x:border>
    <x:border>
      <x:left style="thin">
        <x:color rgb="FFD9D9D9"/>
      </x:left>
      <x:right style="thin">
        <x:color rgb="FFD9D9D9"/>
      </x:right>
      <x:top style="thin">
        <x:color rgb="FFD9D9D9"/>
      </x:top>
      <x:bottom style="thin">
        <x:color rgb="FFD9D9D9"/>
      </x:bottom>
    </x:border>
    <x:border>
      <x:left/>
      <x:right/>
      <x:top style="thin">
        <x:color rgb="FFD9D9D9"/>
      </x:top>
      <x:bottom/>
      <x:diagonal/>
    </x:border>
    <x:border>
      <x:left/>
      <x:right style="thin">
        <x:color rgb="FFD9D9D9"/>
      </x:right>
      <x:top style="thin">
        <x:color rgb="FFD9D9D9"/>
      </x:top>
      <x:bottom/>
      <x:diagonal/>
    </x:border>
    <x:border>
      <x:left/>
      <x:right/>
      <x:top style="thin">
        <x:color rgb="FFD9D9D9"/>
      </x:top>
      <x:bottom style="thin">
        <x:color rgb="FFD9D9D9"/>
      </x:bottom>
      <x:diagonal/>
    </x:border>
    <x:border>
      <x:left/>
      <x:right style="thin">
        <x:color rgb="FFD9D9D9"/>
      </x:right>
      <x:top style="thin">
        <x:color rgb="FFD9D9D9"/>
      </x:top>
      <x:bottom style="thin">
        <x:color rgb="FFD9D9D9"/>
      </x:bottom>
      <x:diagonal/>
    </x:border>
  </x:borders>
  <x:cellStyleXfs count="21">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xf/>
    <x:xf/>
    <x:xf/>
    <x:xf/>
    <x:xf/>
    <x:xf/>
    <x:xf/>
    <x:xf/>
    <x:xf/>
    <x:xf/>
    <x:xf/>
    <x:xf/>
    <x:xf/>
    <x:xf/>
    <x:xf/>
  </x:cellStyleXfs>
  <x:cellXfs count="98">
    <x:xf numFmtId="0" fontId="0" fillId="0" borderId="0" xfId="0" applyAlignment="1">
      <x:alignment horizontal="general" vertical="bottom"/>
    </x:xf>
    <x:xf numFmtId="0" fontId="5" fillId="0" borderId="0" xfId="20" applyAlignment="1">
      <x:alignment horizontal="general" vertical="bottom"/>
    </x:xf>
    <x:xf numFmtId="0" fontId="6" fillId="0" borderId="0" xfId="20" applyAlignment="1">
      <x:alignment horizontal="general" vertical="bottom"/>
    </x:xf>
    <x:xf numFmtId="0" fontId="7" fillId="2" borderId="0" xfId="20" applyAlignment="1">
      <x:alignment horizontal="center" vertical="center" wrapText="1"/>
    </x:xf>
    <x:xf numFmtId="0" fontId="7" fillId="2" borderId="0" xfId="20" applyAlignment="1">
      <x:alignment horizontal="general" vertical="bottom"/>
    </x:xf>
    <x:xf numFmtId="0" fontId="8" fillId="3" borderId="0" xfId="20" applyAlignment="1">
      <x:alignment horizontal="left" vertical="center" wrapText="1"/>
    </x:xf>
    <x:xf numFmtId="3" fontId="8" fillId="3" borderId="0" xfId="20" applyAlignment="1">
      <x:alignment horizontal="center" vertical="center" wrapText="1"/>
    </x:xf>
    <x:xf numFmtId="0" fontId="6" fillId="0" borderId="0" xfId="20" applyAlignment="1">
      <x:alignment horizontal="left" vertical="top" wrapText="1"/>
    </x:xf>
    <x:xf numFmtId="0" fontId="6" fillId="0" borderId="0" xfId="20" applyAlignment="1">
      <x:alignment horizontal="left" vertical="top" wrapText="1"/>
    </x:xf>
    <x:xf numFmtId="164" fontId="8" fillId="3" borderId="0" xfId="20" applyAlignment="1">
      <x:alignment horizontal="center" vertical="center" wrapText="1"/>
    </x:xf>
    <x:xf numFmtId="0" fontId="8" fillId="4" borderId="0" xfId="20" applyAlignment="1">
      <x:alignment horizontal="left" vertical="center" wrapText="1"/>
    </x:xf>
    <x:xf numFmtId="3" fontId="8" fillId="4" borderId="0" xfId="20" applyAlignment="1">
      <x:alignment horizontal="center" vertical="center" wrapText="1"/>
    </x:xf>
    <x:xf numFmtId="165" fontId="8" fillId="4" borderId="0" xfId="20" applyAlignment="1">
      <x:alignment horizontal="center" vertical="center" wrapText="1"/>
    </x:xf>
    <x:xf numFmtId="0" fontId="9" fillId="0" borderId="0" xfId="20" applyAlignment="1">
      <x:alignment horizontal="general" vertical="bottom"/>
    </x:xf>
    <x:xf numFmtId="0" fontId="8" fillId="3" borderId="0" xfId="20" applyAlignment="1">
      <x:alignment horizontal="general" vertical="bottom"/>
    </x:xf>
    <x:xf numFmtId="0" fontId="10" fillId="0" borderId="0" xfId="20" applyAlignment="1">
      <x:alignment horizontal="left" vertical="center" wrapText="1"/>
    </x:xf>
    <x:xf numFmtId="0" fontId="7" fillId="2" borderId="1" xfId="20" applyAlignment="1">
      <x:alignment horizontal="center" vertical="center" wrapText="1"/>
    </x:xf>
    <x:xf numFmtId="0" fontId="6" fillId="0" borderId="2" xfId="20" applyAlignment="1">
      <x:alignment horizontal="left" vertical="top" wrapText="1"/>
    </x:xf>
    <x:xf numFmtId="0" fontId="6" fillId="5" borderId="2" xfId="20" applyAlignment="1">
      <x:alignment horizontal="left" vertical="top" wrapText="1"/>
    </x:xf>
    <x:xf numFmtId="0" fontId="6" fillId="6" borderId="2" xfId="20" applyAlignment="1">
      <x:alignment horizontal="left" vertical="top" wrapText="1"/>
    </x:xf>
    <x:xf numFmtId="0" fontId="6" fillId="7" borderId="0" xfId="20" applyAlignment="1">
      <x:alignment horizontal="left" vertical="top" wrapText="1"/>
    </x:xf>
    <x:xf numFmtId="0" fontId="6" fillId="8" borderId="2" xfId="20" applyAlignment="1">
      <x:alignment horizontal="left" vertical="top" wrapText="1"/>
    </x:xf>
    <x:xf numFmtId="3" fontId="6" fillId="0" borderId="2" xfId="20" applyAlignment="1">
      <x:alignment horizontal="left" vertical="top" wrapText="1"/>
    </x:xf>
    <x:xf numFmtId="10" fontId="6" fillId="0" borderId="2" xfId="20" applyAlignment="1">
      <x:alignment horizontal="left" vertical="top" wrapText="1"/>
    </x:xf>
    <x:xf numFmtId="165" fontId="6" fillId="0" borderId="2" xfId="20" applyAlignment="1">
      <x:alignment horizontal="left" vertical="top" wrapText="1"/>
    </x:xf>
    <x:xf numFmtId="10" fontId="0" fillId="0" borderId="0" xfId="0" applyAlignment="1">
      <x:alignment horizontal="general" vertical="bottom"/>
    </x:xf>
    <x:xf numFmtId="166" fontId="6" fillId="0" borderId="2" xfId="20" applyAlignment="1">
      <x:alignment horizontal="left" vertical="top" wrapText="1"/>
    </x:xf>
    <x:xf numFmtId="4" fontId="6" fillId="0" borderId="2" xfId="20" applyAlignment="1">
      <x:alignment horizontal="left" vertical="top" wrapText="1"/>
    </x:xf>
    <x:xf numFmtId="2" fontId="6" fillId="0" borderId="2" xfId="20" applyAlignment="1">
      <x:alignment horizontal="left" vertical="top" wrapText="1"/>
    </x:xf>
    <x:xf numFmtId="164" fontId="6" fillId="0" borderId="2" xfId="20" applyAlignment="1">
      <x:alignment horizontal="left" vertical="top" wrapText="1"/>
    </x:xf>
    <x:xf numFmtId="0" fontId="11" fillId="0" borderId="2" xfId="20" applyAlignment="1">
      <x:alignment horizontal="left" vertical="top" wrapText="1"/>
    </x:xf>
    <x:xf numFmtId="0" fontId="10" fillId="0" borderId="0" xfId="20" applyAlignment="1">
      <x:alignment horizontal="general" vertical="bottom"/>
    </x:xf>
    <x:xf numFmtId="166" fontId="8" fillId="3" borderId="0" xfId="20" applyAlignment="1">
      <x:alignment horizontal="general" vertical="bottom"/>
    </x:xf>
    <x:xf numFmtId="3" fontId="8" fillId="3" borderId="0" xfId="20" applyAlignment="1">
      <x:alignment horizontal="general" vertical="bottom"/>
    </x:xf>
    <x:xf numFmtId="0" fontId="8" fillId="4" borderId="0" xfId="20" applyAlignment="1">
      <x:alignment horizontal="general" vertical="bottom"/>
    </x:xf>
    <x:xf numFmtId="165" fontId="8" fillId="4" borderId="0" xfId="20" applyAlignment="1">
      <x:alignment horizontal="general" vertical="bottom"/>
    </x:xf>
    <x:xf numFmtId="0" fontId="6" fillId="0" borderId="0" xfId="20" applyAlignment="1">
      <x:alignment horizontal="center" vertical="center" wrapText="1"/>
    </x:xf>
    <x:xf numFmtId="3" fontId="6" fillId="0" borderId="0" xfId="20" applyAlignment="1">
      <x:alignment horizontal="center" vertical="center" wrapText="1"/>
    </x:xf>
    <x:xf numFmtId="2" fontId="6" fillId="0" borderId="0" xfId="20" applyAlignment="1">
      <x:alignment horizontal="center" vertical="center" wrapText="1"/>
    </x:xf>
    <x:xf numFmtId="0" fontId="0" fillId="0" borderId="0" xfId="0"/>
    <x:xf numFmtId="0" fontId="12" fillId="0" borderId="0" xfId="0" applyAlignment="1">
      <x:alignment horizontal="left" vertical="center"/>
    </x:xf>
    <x:xf numFmtId="0" fontId="13" fillId="0" borderId="0" xfId="0" applyAlignment="1">
      <x:alignment horizontal="left" vertical="center" wrapText="1"/>
    </x:xf>
    <x:xf numFmtId="0" fontId="14" fillId="9" borderId="3" xfId="0" applyAlignment="1">
      <x:alignment horizontal="center" vertical="center"/>
    </x:xf>
    <x:xf numFmtId="0" fontId="14" fillId="9" borderId="3" xfId="0" applyAlignment="1">
      <x:alignment horizontal="left" vertical="center"/>
    </x:xf>
    <x:xf numFmtId="0" fontId="15" fillId="10" borderId="3" xfId="0" applyAlignment="1">
      <x:alignment horizontal="left" vertical="center" wrapText="1"/>
    </x:xf>
    <x:xf numFmtId="3" fontId="15" fillId="0" borderId="3" xfId="0" applyAlignment="1">
      <x:alignment horizontal="center" vertical="center"/>
    </x:xf>
    <x:xf numFmtId="0" fontId="13" fillId="0" borderId="3" xfId="0" applyAlignment="1">
      <x:alignment horizontal="left" vertical="center" wrapText="1"/>
    </x:xf>
    <x:xf numFmtId="0" fontId="16" fillId="10" borderId="3" xfId="0" applyAlignment="1">
      <x:alignment horizontal="left" vertical="center" wrapText="1"/>
    </x:xf>
    <x:xf numFmtId="0" fontId="15" fillId="0" borderId="3" xfId="0" applyAlignment="1">
      <x:alignment horizontal="center" vertical="center"/>
    </x:xf>
    <x:xf numFmtId="0" fontId="16" fillId="11" borderId="3" xfId="0" applyAlignment="1">
      <x:alignment horizontal="left" vertical="center" wrapText="1"/>
    </x:xf>
    <x:xf numFmtId="0" fontId="13" fillId="12" borderId="3" xfId="0" applyAlignment="1">
      <x:alignment horizontal="left" vertical="center" wrapText="1"/>
    </x:xf>
    <x:xf numFmtId="165" fontId="15" fillId="0" borderId="3" xfId="0" applyAlignment="1">
      <x:alignment horizontal="center" vertical="center"/>
    </x:xf>
    <x:xf numFmtId="167" fontId="15" fillId="0" borderId="3" xfId="0" applyAlignment="1">
      <x:alignment horizontal="center" vertical="center"/>
    </x:xf>
    <x:xf numFmtId="0" fontId="15" fillId="11" borderId="3" xfId="0" applyAlignment="1">
      <x:alignment horizontal="center" vertical="center"/>
    </x:xf>
    <x:xf numFmtId="0" fontId="13" fillId="0" borderId="3" xfId="0" applyAlignment="1">
      <x:alignment horizontal="center" vertical="center"/>
    </x:xf>
    <x:xf numFmtId="0" fontId="15" fillId="11" borderId="3" xfId="0" applyAlignment="1">
      <x:alignment horizontal="left" vertical="center"/>
    </x:xf>
    <x:xf numFmtId="0" fontId="15" fillId="11" borderId="3" xfId="0" applyAlignment="1">
      <x:alignment horizontal="center" vertical="center" wrapText="1"/>
    </x:xf>
    <x:xf numFmtId="3" fontId="16" fillId="0" borderId="3" xfId="0" applyAlignment="1">
      <x:alignment horizontal="center" vertical="center"/>
    </x:xf>
    <x:xf numFmtId="165" fontId="16" fillId="0" borderId="3" xfId="0" applyAlignment="1">
      <x:alignment horizontal="center" vertical="center"/>
    </x:xf>
    <x:xf numFmtId="0" fontId="15" fillId="12" borderId="3" xfId="0" applyAlignment="1">
      <x:alignment horizontal="left" vertical="center" wrapText="1"/>
    </x:xf>
    <x:xf numFmtId="0" fontId="16" fillId="0" borderId="3" xfId="0" applyAlignment="1">
      <x:alignment horizontal="center" vertical="center"/>
    </x:xf>
    <x:xf numFmtId="167" fontId="16" fillId="0" borderId="3" xfId="0" applyAlignment="1">
      <x:alignment horizontal="center" vertical="center"/>
    </x:xf>
    <x:xf numFmtId="0" fontId="15" fillId="10" borderId="3" xfId="0" applyAlignment="1">
      <x:alignment horizontal="center" vertical="center"/>
    </x:xf>
    <x:xf numFmtId="167" fontId="15" fillId="10" borderId="3" xfId="0" applyAlignment="1">
      <x:alignment horizontal="center" vertical="center"/>
    </x:xf>
    <x:xf numFmtId="3" fontId="15" fillId="10" borderId="3" xfId="0" applyAlignment="1">
      <x:alignment horizontal="center" vertical="center"/>
    </x:xf>
    <x:xf numFmtId="165" fontId="15" fillId="10" borderId="3" xfId="0" applyAlignment="1">
      <x:alignment horizontal="center" vertical="center"/>
    </x:xf>
    <x:xf numFmtId="166" fontId="16" fillId="0" borderId="3" xfId="0" applyAlignment="1">
      <x:alignment horizontal="center" vertical="center"/>
    </x:xf>
    <x:xf numFmtId="0" fontId="0" fillId="0" borderId="0" xfId="0" applyAlignment="1">
      <x:alignment horizontal="general" vertical="bottom"/>
    </x:xf>
    <x:xf numFmtId="0" fontId="10" fillId="0" borderId="0" xfId="20" applyAlignment="1">
      <x:alignment horizontal="left" vertical="center" wrapText="1"/>
    </x:xf>
    <x:xf numFmtId="0" fontId="7" fillId="2" borderId="1" xfId="20" applyAlignment="1">
      <x:alignment horizontal="center" vertical="center" wrapText="1"/>
    </x:xf>
    <x:xf numFmtId="0" fontId="6" fillId="0" borderId="2" xfId="20" applyAlignment="1">
      <x:alignment horizontal="left" vertical="top" wrapText="1"/>
    </x:xf>
    <x:xf numFmtId="0" fontId="6" fillId="5" borderId="2" xfId="20" applyAlignment="1">
      <x:alignment horizontal="left" vertical="top" wrapText="1"/>
    </x:xf>
    <x:xf numFmtId="0" fontId="6" fillId="6" borderId="2" xfId="20" applyAlignment="1">
      <x:alignment horizontal="left" vertical="top" wrapText="1"/>
    </x:xf>
    <x:xf numFmtId="0" fontId="16" fillId="0" borderId="3" xfId="0" applyAlignment="1">
      <x:alignment horizontal="left" vertical="center" wrapText="1"/>
    </x:xf>
    <x:xf numFmtId="0" fontId="6" fillId="7" borderId="0" xfId="20" applyAlignment="1">
      <x:alignment horizontal="left" vertical="top" wrapText="1"/>
    </x:xf>
    <x:xf numFmtId="0" fontId="6" fillId="8" borderId="2" xfId="20" applyAlignment="1">
      <x:alignment horizontal="left" vertical="top" wrapText="1"/>
    </x:xf>
    <x:xf numFmtId="3" fontId="6" fillId="0" borderId="2" xfId="20" applyAlignment="1">
      <x:alignment horizontal="left" vertical="top" wrapText="1"/>
    </x:xf>
    <x:xf numFmtId="10" fontId="6" fillId="0" borderId="2" xfId="20" applyAlignment="1">
      <x:alignment horizontal="left" vertical="top" wrapText="1"/>
    </x:xf>
    <x:xf numFmtId="165" fontId="6" fillId="0" borderId="2" xfId="20" applyAlignment="1">
      <x:alignment horizontal="left" vertical="top" wrapText="1"/>
    </x:xf>
    <x:xf numFmtId="10" fontId="0" fillId="0" borderId="0" xfId="0" applyAlignment="1">
      <x:alignment horizontal="general" vertical="bottom"/>
    </x:xf>
    <x:xf numFmtId="166" fontId="6" fillId="0" borderId="2" xfId="20" applyAlignment="1">
      <x:alignment horizontal="left" vertical="top" wrapText="1"/>
    </x:xf>
    <x:xf numFmtId="4" fontId="6" fillId="0" borderId="2" xfId="20" applyAlignment="1">
      <x:alignment horizontal="left" vertical="top" wrapText="1"/>
    </x:xf>
    <x:xf numFmtId="2" fontId="6" fillId="0" borderId="2" xfId="20" applyAlignment="1">
      <x:alignment horizontal="left" vertical="top" wrapText="1"/>
    </x:xf>
    <x:xf numFmtId="164" fontId="6" fillId="0" borderId="2" xfId="20" applyAlignment="1">
      <x:alignment horizontal="left" vertical="top" wrapText="1"/>
    </x:xf>
    <x:xf numFmtId="0" fontId="11" fillId="0" borderId="2" xfId="20" applyAlignment="1">
      <x:alignment horizontal="left" vertical="top" wrapText="1"/>
    </x:xf>
    <x:xf numFmtId="0" fontId="10" fillId="0" borderId="0" xfId="20" applyAlignment="1">
      <x:alignment horizontal="general" vertical="bottom"/>
    </x:xf>
    <x:xf numFmtId="0" fontId="7" fillId="2" borderId="0" xfId="20" applyAlignment="1">
      <x:alignment horizontal="center" vertical="center" wrapText="1"/>
    </x:xf>
    <x:xf numFmtId="0" fontId="8" fillId="3" borderId="0" xfId="20" applyAlignment="1">
      <x:alignment horizontal="general" vertical="bottom"/>
    </x:xf>
    <x:xf numFmtId="3" fontId="8" fillId="3" borderId="0" xfId="20" applyAlignment="1">
      <x:alignment horizontal="general" vertical="bottom"/>
    </x:xf>
    <x:xf numFmtId="0" fontId="6" fillId="0" borderId="0" xfId="20" applyAlignment="1">
      <x:alignment horizontal="general" vertical="bottom"/>
    </x:xf>
    <x:xf numFmtId="166" fontId="8" fillId="3" borderId="0" xfId="20" applyAlignment="1">
      <x:alignment horizontal="general" vertical="bottom"/>
    </x:xf>
    <x:xf numFmtId="0" fontId="8" fillId="4" borderId="0" xfId="20" applyAlignment="1">
      <x:alignment horizontal="general" vertical="bottom"/>
    </x:xf>
    <x:xf numFmtId="165" fontId="8" fillId="4" borderId="0" xfId="20" applyAlignment="1">
      <x:alignment horizontal="general" vertical="bottom"/>
    </x:xf>
    <x:xf numFmtId="0" fontId="6" fillId="0" borderId="0" xfId="20" applyAlignment="1">
      <x:alignment horizontal="center" vertical="center" wrapText="1"/>
    </x:xf>
    <x:xf numFmtId="3" fontId="6" fillId="0" borderId="0" xfId="20" applyAlignment="1">
      <x:alignment horizontal="center" vertical="center" wrapText="1"/>
    </x:xf>
    <x:xf numFmtId="2" fontId="6" fillId="0" borderId="0" xfId="20" applyAlignment="1">
      <x:alignment horizontal="center" vertical="center" wrapText="1"/>
    </x:xf>
    <x:xf numFmtId="0" fontId="0" fillId="0" borderId="6" xfId="0"/>
    <x:xf numFmtId="0" fontId="0" fillId="0" borderId="7" xfId="0"/>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D9F0F0"/>
      <x:rgbColor rgb="FF660066"/>
      <x:rgbColor rgb="FFFF8080"/>
      <x:rgbColor rgb="FF0563C1"/>
      <x:rgbColor rgb="FFD9D9D9"/>
      <x:rgbColor rgb="FF000080"/>
      <x:rgbColor rgb="FFFF00FF"/>
      <x:rgbColor rgb="FFFFFF00"/>
      <x:rgbColor rgb="FF00FFFF"/>
      <x:rgbColor rgb="FF800080"/>
      <x:rgbColor rgb="FF800000"/>
      <x:rgbColor rgb="FF008080"/>
      <x:rgbColor rgb="FF0000FF"/>
      <x:rgbColor rgb="FF00CCFF"/>
      <x:rgbColor rgb="FFF2F2F2"/>
      <x:rgbColor rgb="FFE2F0D9"/>
      <x:rgbColor rgb="FFFDE9E7"/>
      <x:rgbColor rgb="FF99CCFF"/>
      <x:rgbColor rgb="FFFF99CC"/>
      <x:rgbColor rgb="FFCC99FF"/>
      <x:rgbColor rgb="FFFCE4D6"/>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E78"/>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f43027213674f1c" /><Relationship Type="http://schemas.openxmlformats.org/officeDocument/2006/relationships/theme" Target="/xl/theme/theme1.xml" Id="R5f94d00e09db402f" /><Relationship Type="http://schemas.openxmlformats.org/officeDocument/2006/relationships/sharedStrings" Target="/xl/sharedStrings.xml" Id="Rbc57fa40154f41cf" /><Relationship Type="http://schemas.openxmlformats.org/officeDocument/2006/relationships/worksheet" Target="/xl/worksheets/sheet1.xml" Id="Rc2fc196f23e34b3e" /><Relationship Type="http://schemas.openxmlformats.org/officeDocument/2006/relationships/worksheet" Target="/xl/worksheets/sheet2.xml" Id="Rd617930fe5e64280" /><Relationship Type="http://schemas.openxmlformats.org/officeDocument/2006/relationships/worksheet" Target="/xl/worksheets/sheet3.xml" Id="R0033731ccb39440e" /><Relationship Type="http://schemas.openxmlformats.org/officeDocument/2006/relationships/worksheet" Target="/xl/worksheets/sheet4.xml" Id="R769ceb080e2943f4" /><Relationship Type="http://schemas.openxmlformats.org/officeDocument/2006/relationships/worksheet" Target="/xl/worksheets/sheet5.xml" Id="Rf32b90e963cb4474" /><Relationship Type="http://schemas.openxmlformats.org/officeDocument/2006/relationships/worksheet" Target="/xl/worksheets/sheet6.xml" Id="Rb58b88e54de44009" /><Relationship Type="http://schemas.openxmlformats.org/officeDocument/2006/relationships/worksheet" Target="/xl/worksheets/sheet7.xml" Id="R11c21559c5484e4d" /><Relationship Type="http://schemas.openxmlformats.org/officeDocument/2006/relationships/worksheet" Target="/xl/worksheets/sheet8.xml" Id="R4e98cbf1831e4f9a" /><Relationship Type="http://schemas.openxmlformats.org/officeDocument/2006/relationships/worksheet" Target="/xl/worksheets/sheet9.xml" Id="Rd664f14ddc6943bb" /><Relationship Type="http://schemas.openxmlformats.org/officeDocument/2006/relationships/worksheet" Target="/xl/worksheets/sheet10.xml" Id="R3b03d6d547344e69" /><Relationship Type="http://schemas.openxmlformats.org/officeDocument/2006/relationships/worksheet" Target="/xl/worksheets/sheet11.xml" Id="R2e7386ee418f43cc" /><Relationship Type="http://schemas.openxmlformats.org/officeDocument/2006/relationships/worksheet" Target="/xl/worksheets/sheet12.xml" Id="Re1bc966528f342e1" /><Relationship Type="http://schemas.openxmlformats.org/officeDocument/2006/relationships/worksheet" Target="/xl/worksheets/sheet13.xml" Id="Rfa104476074b4628" /><Relationship Type="http://schemas.openxmlformats.org/officeDocument/2006/relationships/worksheet" Target="/xl/worksheets/sheet14.xml" Id="R2ed1c5d07f894f35" /><Relationship Type="http://schemas.openxmlformats.org/officeDocument/2006/relationships/worksheet" Target="/xl/worksheets/sheet15.xml" Id="R2e8f01ebd0434262" /><Relationship Type="http://schemas.openxmlformats.org/officeDocument/2006/relationships/worksheet" Target="/xl/worksheets/sheet16.xml" Id="R3f41d5bd52924ad6" /><Relationship Type="http://schemas.openxmlformats.org/officeDocument/2006/relationships/worksheet" Target="/xl/worksheets/sheet17.xml" Id="R1cddf7e4ecd24ba0" /><Relationship Type="http://schemas.openxmlformats.org/officeDocument/2006/relationships/worksheet" Target="/xl/worksheets/sheet18.xml" Id="Rfee46178ab0c4051" /><Relationship Type="http://schemas.openxmlformats.org/officeDocument/2006/relationships/worksheet" Target="/xl/worksheets/sheet19.xml" Id="R9614728acf1f4e4f"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34" style="39" customWidth="1"/>
    <x:col min="2" max="2" width="16" style="39" customWidth="1"/>
    <x:col min="3" max="3" width="42" style="39" customWidth="1"/>
    <x:col min="4" max="4" width="3" style="39" customWidth="1"/>
    <x:col min="5" max="5" width="38" style="39" customWidth="1"/>
    <x:col min="6" max="6" width="16" style="39" customWidth="1"/>
    <x:col min="7" max="7" width="16" style="39" customWidth="1"/>
    <x:col min="8" max="8" width="16" style="39" customWidth="1"/>
    <x:col min="9" max="9" width="16" style="39" customWidth="1"/>
  </x:cols>
  <x:sheetData>
    <x:row r="1" s="39" customFormat="1" ht="23" customHeight="1">
      <x:c r="A1" s="40" t="inlineStr">
        <x:is>
          <x:t xml:space="preserve">ACIRV - Resumo Executivo da Base Consolidada</x:t>
        </x:is>
      </x:c>
    </x:row>
    <x:row r="2" s="39" customFormat="1" ht="18" customHeight="1">
      <x:c r="A2" s="41" t="inlineStr">
        <x:is>
          <x:t xml:space="preserve">Indicadores principais refeitos com fórmulas dinâmicas. Este resumo prioriza métricas-chave completas e atualizadas automaticamente a partir das abas fonte.</x:t>
        </x:is>
      </x:c>
    </x:row>
    <x:row r="4">
      <x:c r="A4" s="42" t="inlineStr">
        <x:is>
          <x:t xml:space="preserve">Indicador</x:t>
        </x:is>
      </x:c>
      <x:c r="B4" s="42" t="inlineStr">
        <x:is>
          <x:t xml:space="preserve">Valor</x:t>
        </x:is>
      </x:c>
      <x:c r="C4" s="42" t="inlineStr">
        <x:is>
          <x:t xml:space="preserve">Observação</x:t>
        </x:is>
      </x:c>
      <x:c r="E4" s="43" t="inlineStr">
        <x:is>
          <x:t xml:space="preserve">Blocos recomendados no dashboard</x:t>
        </x:is>
      </x:c>
      <x:c r="F4" s="96" t="n"/>
      <x:c r="G4" s="96" t="n"/>
      <x:c r="H4" s="96" t="n"/>
      <x:c r="I4" s="97" t="n"/>
    </x:row>
    <x:row r="5" s="39" customFormat="1" ht="28" customHeight="1">
      <x:c r="A5" s="44" t="inlineStr">
        <x:is>
          <x:t xml:space="preserve">Fontes lidas</x:t>
        </x:is>
      </x:c>
      <x:c r="B5" s="45">
        <x:f>COUNTA('Fontes Lidas'!A5:A999)</x:f>
        <x:v>31</x:v>
      </x:c>
      <x:c r="C5" s="46" t="inlineStr">
        <x:is>
          <x:t xml:space="preserve">Arquivos efetivamente avaliados e registrados na aba de rastreabilidade.</x:t>
        </x:is>
      </x:c>
      <x:c r="E5" s="47" t="inlineStr">
        <x:is>
          <x:t xml:space="preserve">Cards executivos: fontes lidas, meses oficiais, último mês, seguidores, crescimento, visualizações e interações.</x:t>
        </x:is>
      </x:c>
      <x:c r="F5" s="96" t="n"/>
      <x:c r="G5" s="96" t="n"/>
      <x:c r="H5" s="96" t="n"/>
      <x:c r="I5" s="97" t="n"/>
    </x:row>
    <x:row r="6" s="39" customFormat="1" ht="28" customHeight="1">
      <x:c r="A6" s="44" t="inlineStr">
        <x:is>
          <x:t xml:space="preserve">Meses oficiais disponíveis</x:t>
        </x:is>
      </x:c>
      <x:c r="B6" s="45">
        <x:f>COUNTA('KPIs Mensais Oficiais'!A5:A999)</x:f>
        <x:v>9</x:v>
      </x:c>
      <x:c r="C6" s="46" t="inlineStr">
        <x:is>
          <x:t xml:space="preserve">Total de meses preenchidos na série oficial.</x:t>
        </x:is>
      </x:c>
      <x:c r="E6" s="47" t="inlineStr">
        <x:is>
          <x:t xml:space="preserve">Série mensal oficial completa: use os 13 indicadores sem lacunas entre ago/2025 e mar/2026.</x:t>
        </x:is>
      </x:c>
      <x:c r="F6" s="96" t="n"/>
      <x:c r="G6" s="96" t="n"/>
      <x:c r="H6" s="96" t="n"/>
      <x:c r="I6" s="97" t="n"/>
    </x:row>
    <x:row r="7" s="39" customFormat="1" ht="28" customHeight="1">
      <x:c r="A7" s="44" t="inlineStr">
        <x:is>
          <x:t xml:space="preserve">Último mês oficial</x:t>
        </x:is>
      </x:c>
      <x:c r="B7" s="48" t="str">
        <x:f>INDEX('KPIs Mensais Oficiais'!$B$5:$B$999,COUNTA('KPIs Mensais Oficiais'!$A$5:$A$999))</x:f>
        <x:v>Março/2026</x:v>
      </x:c>
      <x:c r="C7" s="46" t="inlineStr">
        <x:is>
          <x:t xml:space="preserve">Última linha preenchida da aba KPIs Mensais Oficiais.</x:t>
        </x:is>
      </x:c>
      <x:c r="E7" s="47" t="inlineStr">
        <x:is>
          <x:t xml:space="preserve">Mídia paga: investimento, alcance, cliques, CTR, CPC e CPM por período mensal.</x:t>
        </x:is>
      </x:c>
      <x:c r="F7" s="96" t="n"/>
      <x:c r="G7" s="96" t="n"/>
      <x:c r="H7" s="96" t="n"/>
      <x:c r="I7" s="97" t="n"/>
    </x:row>
    <x:row r="8" s="39" customFormat="1" ht="28" customHeight="1">
      <x:c r="A8" s="44" t="inlineStr">
        <x:is>
          <x:t xml:space="preserve">Seguidores (último mês oficial)</x:t>
        </x:is>
      </x:c>
      <x:c r="B8" s="45">
        <x:f>INDEX('KPIs Mensais Oficiais'!$A$5:$Y$999,COUNTA('KPIs Mensais Oficiais'!$A$5:$A$999),MATCH("seguidores_fim_mes",'KPIs Mensais Oficiais'!$A$4:$Y$4,0))</x:f>
        <x:v>8885</x:v>
      </x:c>
      <x:c r="C8" s="46" t="inlineStr">
        <x:is>
          <x:t xml:space="preserve">Valor dinâmico da última linha preenchida do KPI mensal oficial.</x:t>
        </x:is>
      </x:c>
      <x:c r="E8" s="47" t="inlineStr">
        <x:is>
          <x:t xml:space="preserve">Instagram 90 dias: contas alcançadas, impressões, visitas ao perfil, cliques externos e saldo de seguidores.</x:t>
        </x:is>
      </x:c>
      <x:c r="F8" s="96" t="n"/>
      <x:c r="G8" s="96" t="n"/>
      <x:c r="H8" s="96" t="n"/>
      <x:c r="I8" s="97" t="n"/>
    </x:row>
    <x:row r="9" s="39" customFormat="1" ht="28" customHeight="1">
      <x:c r="A9" s="44" t="inlineStr">
        <x:is>
          <x:t xml:space="preserve">Crescimento líquido de seguidores</x:t>
        </x:is>
      </x:c>
      <x:c r="B9" s="45">
        <x:f>INDEX('KPIs Mensais Oficiais'!$A$5:$Y$999,COUNTA('KPIs Mensais Oficiais'!$A$5:$A$999),MATCH("total_crescimento_seguidores",'KPIs Mensais Oficiais'!$A$4:$Y$4,0))</x:f>
        <x:v>217</x:v>
      </x:c>
      <x:c r="C9" s="46" t="inlineStr">
        <x:is>
          <x:t xml:space="preserve">Crescimento líquido do último mês oficial.</x:t>
        </x:is>
      </x:c>
      <x:c r="E9" s="49" t="inlineStr">
        <x:is>
          <x:t xml:space="preserve">Conteúdo: top posts, concentração de engajamento, formatos e diagnóstico dos 84 posts.</x:t>
        </x:is>
      </x:c>
      <x:c r="F9" s="96" t="n"/>
      <x:c r="G9" s="96" t="n"/>
      <x:c r="H9" s="96" t="n"/>
      <x:c r="I9" s="97" t="n"/>
    </x:row>
    <x:row r="10" s="39" customFormat="1" ht="28" customHeight="1">
      <x:c r="A10" s="44" t="inlineStr">
        <x:is>
          <x:t xml:space="preserve">Começaram a seguir</x:t>
        </x:is>
      </x:c>
      <x:c r="B10" s="45">
        <x:f>INDEX('KPIs Mensais Oficiais'!$A$5:$Y$999,COUNTA('KPIs Mensais Oficiais'!$A$5:$A$999),MATCH("começaram_a_seguir",'KPIs Mensais Oficiais'!$A$4:$Y$4,0))</x:f>
        <x:v>313</x:v>
      </x:c>
      <x:c r="C10" s="46" t="inlineStr">
        <x:is>
          <x:t xml:space="preserve">Novos seguidores do último mês oficial.</x:t>
        </x:is>
      </x:c>
      <x:c r="E10" s="49" t="inlineStr">
        <x:is>
          <x:t xml:space="preserve">Planejamento e rastreabilidade: metas 2026, fontes lidas, arquivos prioritários e estrutura de uso no dashboard.</x:t>
        </x:is>
      </x:c>
      <x:c r="F10" s="96" t="n"/>
      <x:c r="G10" s="96" t="n"/>
      <x:c r="H10" s="96" t="n"/>
      <x:c r="I10" s="97" t="n"/>
    </x:row>
    <x:row r="11" s="39" customFormat="1" ht="24" customHeight="1">
      <x:c r="A11" s="44" t="inlineStr">
        <x:is>
          <x:t xml:space="preserve">Deixaram de seguir</x:t>
        </x:is>
      </x:c>
      <x:c r="B11" s="45">
        <x:f>INDEX('KPIs Mensais Oficiais'!$A$5:$Y$999,COUNTA('KPIs Mensais Oficiais'!$A$5:$A$999),MATCH("Deixaram_de_seguir",'KPIs Mensais Oficiais'!$A$4:$Y$4,0))</x:f>
        <x:v>96</x:v>
      </x:c>
      <x:c r="C11" s="46" t="inlineStr">
        <x:is>
          <x:t xml:space="preserve">Seguidores perdidos no último mês oficial.</x:t>
        </x:is>
      </x:c>
    </x:row>
    <x:row r="12" s="39" customFormat="1" ht="42" customHeight="1">
      <x:c r="A12" s="44" t="inlineStr">
        <x:is>
          <x:t xml:space="preserve">Visualizações (último mês oficial)</x:t>
        </x:is>
      </x:c>
      <x:c r="B12" s="45">
        <x:f>INDEX('KPIs Mensais Oficiais'!$A$5:$Y$999,COUNTA('KPIs Mensais Oficiais'!$A$5:$A$999),MATCH("visualizacoes",'KPIs Mensais Oficiais'!$A$4:$Y$4,0))</x:f>
        <x:v>257518</x:v>
      </x:c>
      <x:c r="C12" s="46" t="inlineStr">
        <x:is>
          <x:t xml:space="preserve">Total de visualizações do último mês oficial.</x:t>
        </x:is>
      </x:c>
      <x:c r="E12" s="50" t="inlineStr">
        <x:is>
          <x:t xml:space="preserve">Indicadores mensais parciais que ficaram fora do painel mensal completo: % visualizações ads, interações live, % interações ads, % interações não seguidores, assessoria imprensa, matérias do site e vídeos produzidos.</x:t>
        </x:is>
      </x:c>
      <x:c r="F12" s="96" t="n"/>
      <x:c r="G12" s="96" t="n"/>
      <x:c r="H12" s="96" t="n"/>
      <x:c r="I12" s="97" t="n"/>
    </x:row>
    <x:row r="13" s="39" customFormat="1" ht="24" customHeight="1">
      <x:c r="A13" s="44" t="inlineStr">
        <x:is>
          <x:t xml:space="preserve">% visualizações de não seguidores</x:t>
        </x:is>
      </x:c>
      <x:c r="B13" s="51">
        <x:f>INDEX('KPIs Mensais Oficiais'!$A$5:$Y$999,COUNTA('KPIs Mensais Oficiais'!$A$5:$A$999),MATCH("pct_nao_seguidores",'KPIs Mensais Oficiais'!$A$4:$Y$4,0))</x:f>
        <x:v>0.635</x:v>
      </x:c>
      <x:c r="C13" s="46" t="inlineStr">
        <x:is>
          <x:t xml:space="preserve">Percentual do último mês oficial.</x:t>
        </x:is>
      </x:c>
    </x:row>
    <x:row r="14" s="39" customFormat="1" ht="24" customHeight="1">
      <x:c r="A14" s="44" t="inlineStr">
        <x:is>
          <x:t xml:space="preserve">Posts feed publicados</x:t>
        </x:is>
      </x:c>
      <x:c r="B14" s="45">
        <x:f>INDEX('KPIs Mensais Oficiais'!$A$5:$Y$999,COUNTA('KPIs Mensais Oficiais'!$A$5:$A$999),MATCH("posts_feed",'KPIs Mensais Oficiais'!$A$4:$Y$4,0))</x:f>
        <x:v>40</x:v>
      </x:c>
      <x:c r="C14" s="46" t="inlineStr">
        <x:is>
          <x:t xml:space="preserve">Publicações de feed do último mês oficial.</x:t>
        </x:is>
      </x:c>
    </x:row>
    <x:row r="15" s="39" customFormat="1" ht="24" customHeight="1">
      <x:c r="A15" s="44" t="inlineStr">
        <x:is>
          <x:t xml:space="preserve">Stories publicados</x:t>
        </x:is>
      </x:c>
      <x:c r="B15" s="45">
        <x:f>INDEX('KPIs Mensais Oficiais'!$A$5:$Y$999,COUNTA('KPIs Mensais Oficiais'!$A$5:$A$999),MATCH("stories",'KPIs Mensais Oficiais'!$A$4:$Y$4,0))</x:f>
        <x:v>325</x:v>
      </x:c>
      <x:c r="C15" s="46" t="inlineStr">
        <x:is>
          <x:t xml:space="preserve">Stories do último mês oficial.</x:t>
        </x:is>
      </x:c>
    </x:row>
    <x:row r="16" s="39" customFormat="1" ht="24" customHeight="1">
      <x:c r="A16" s="44" t="inlineStr">
        <x:is>
          <x:t xml:space="preserve">Reels publicados</x:t>
        </x:is>
      </x:c>
      <x:c r="B16" s="45">
        <x:f>INDEX('KPIs Mensais Oficiais'!$A$5:$Y$999,COUNTA('KPIs Mensais Oficiais'!$A$5:$A$999),MATCH("reels",'KPIs Mensais Oficiais'!$A$4:$Y$4,0))</x:f>
        <x:v>6</x:v>
      </x:c>
      <x:c r="C16" s="46" t="inlineStr">
        <x:is>
          <x:t xml:space="preserve">Reels do último mês oficial.</x:t>
        </x:is>
      </x:c>
    </x:row>
    <x:row r="17" s="39" customFormat="1" ht="24" customHeight="1">
      <x:c r="A17" s="44" t="inlineStr">
        <x:is>
          <x:t xml:space="preserve">Interações totais</x:t>
        </x:is>
      </x:c>
      <x:c r="B17" s="45">
        <x:f>INDEX('KPIs Mensais Oficiais'!$A$5:$Y$999,COUNTA('KPIs Mensais Oficiais'!$A$5:$A$999),MATCH("interacoes",'KPIs Mensais Oficiais'!$A$4:$Y$4,0))</x:f>
        <x:v>3039</x:v>
      </x:c>
      <x:c r="C17" s="46" t="inlineStr">
        <x:is>
          <x:t xml:space="preserve">Interações totais do último mês oficial.</x:t>
        </x:is>
      </x:c>
    </x:row>
    <x:row r="18" s="39" customFormat="1" ht="24" customHeight="1">
      <x:c r="A18" s="44" t="inlineStr">
        <x:is>
          <x:t xml:space="preserve">Investimento em mídia paga - 2026 YTD</x:t>
        </x:is>
      </x:c>
      <x:c r="B18" s="52">
        <x:f>SUMIFS('Mídia Paga'!K:K,'Mídia Paga'!B:B,"&gt;="&amp;DATE(2026,1,1),'Mídia Paga'!B:B,"&lt;"&amp;DATE(2027,1,1))</x:f>
        <x:v>952.75</x:v>
      </x:c>
      <x:c r="C18" s="46" t="inlineStr">
        <x:is>
          <x:t xml:space="preserve">Soma acumulada dos relatórios de mídia paga de 2026.</x:t>
        </x:is>
      </x:c>
    </x:row>
    <x:row r="19" s="39" customFormat="1" ht="24" customHeight="1">
      <x:c r="A19" s="44" t="inlineStr">
        <x:is>
          <x:t xml:space="preserve">Alcance em mídia paga - 2026 YTD</x:t>
        </x:is>
      </x:c>
      <x:c r="B19" s="45">
        <x:f>SUMIFS('Mídia Paga'!G:G,'Mídia Paga'!B:B,"&gt;="&amp;DATE(2026,1,1),'Mídia Paga'!B:B,"&lt;"&amp;DATE(2027,1,1))</x:f>
        <x:v>99615</x:v>
      </x:c>
      <x:c r="C19" s="46" t="inlineStr">
        <x:is>
          <x:t xml:space="preserve">Soma do alcance dos relatórios de mídia paga de 2026.</x:t>
        </x:is>
      </x:c>
    </x:row>
    <x:row r="20" s="39" customFormat="1" ht="24" customHeight="1">
      <x:c r="A20" s="44" t="inlineStr">
        <x:is>
          <x:t xml:space="preserve">Cliques em mídia paga - 2026 YTD</x:t>
        </x:is>
      </x:c>
      <x:c r="B20" s="45">
        <x:f>SUMIFS('Mídia Paga'!D:D,'Mídia Paga'!B:B,"&gt;="&amp;DATE(2026,1,1),'Mídia Paga'!B:B,"&lt;"&amp;DATE(2027,1,1))</x:f>
        <x:v>4647</x:v>
      </x:c>
      <x:c r="C20" s="46" t="inlineStr">
        <x:is>
          <x:t xml:space="preserve">Soma de cliques dos relatórios de mídia paga de 2026.</x:t>
        </x:is>
      </x:c>
    </x:row>
    <x:row r="21" s="39" customFormat="1" ht="24" customHeight="1">
      <x:c r="A21" s="44" t="inlineStr">
        <x:is>
          <x:t xml:space="preserve">Contas alcançadas (insights 90d)</x:t>
        </x:is>
      </x:c>
      <x:c r="B21" s="45">
        <x:f>INDEX('Instagram 90d Resumo'!C:C,MATCH("Contas alcançadas",'Instagram 90d Resumo'!B:B,0))</x:f>
        <x:v>211235</x:v>
      </x:c>
      <x:c r="C21" s="46" t="inlineStr">
        <x:is>
          <x:t xml:space="preserve">Recorte do export Jan 10 - Apr 9.</x:t>
        </x:is>
      </x:c>
    </x:row>
    <x:row r="22" s="39" customFormat="1" ht="24" customHeight="1">
      <x:c r="A22" s="44" t="inlineStr">
        <x:is>
          <x:t xml:space="preserve">Interações com o conteúdo (90d)</x:t>
        </x:is>
      </x:c>
      <x:c r="B22" s="45">
        <x:f>INDEX('Instagram 90d Resumo'!C:C,MATCH("Interações com o conteúdo",'Instagram 90d Resumo'!B:B,0))</x:f>
        <x:v>7988</x:v>
      </x:c>
      <x:c r="C22" s="46" t="inlineStr">
        <x:is>
          <x:t xml:space="preserve">Recorte do export Jan 10 - Apr 9.</x:t>
        </x:is>
      </x:c>
    </x:row>
    <x:row r="23" s="39" customFormat="1" ht="24" customHeight="1">
      <x:c r="A23" s="44" t="inlineStr">
        <x:is>
          <x:t xml:space="preserve">Crescimento líquido de seguidores (90d)</x:t>
        </x:is>
      </x:c>
      <x:c r="B23" s="45">
        <x:f>INDEX('Instagram 90d Resumo'!C:C,MATCH("Crescimento líquido de seguidores",'Instagram 90d Resumo'!B:B,0))</x:f>
        <x:v>549</x:v>
      </x:c>
      <x:c r="C23" s="46" t="inlineStr">
        <x:is>
          <x:t xml:space="preserve">Seguidores ganhos menos perdas no recorte de 90 dias.</x:t>
        </x:is>
      </x:c>
    </x:row>
    <x:row r="24" s="39" customFormat="1" ht="24" customHeight="1">
      <x:c r="A24" s="44" t="inlineStr">
        <x:is>
          <x:t xml:space="preserve">Posts analisados no diagnóstico</x:t>
        </x:is>
      </x:c>
      <x:c r="B24" s="45">
        <x:f>COUNTA('Instagram 84 Posts'!A5:A88)</x:f>
        <x:v>84</x:v>
      </x:c>
      <x:c r="C24" s="46" t="inlineStr">
        <x:is>
          <x:t xml:space="preserve">Base do recorte de 84 posts.</x:t>
        </x:is>
      </x:c>
    </x:row>
    <x:row r="25" s="39" customFormat="1" ht="24" customHeight="1">
      <x:c r="A25" s="44" t="inlineStr">
        <x:is>
          <x:t xml:space="preserve">% posts com &lt;= 5 likes</x:t>
        </x:is>
      </x:c>
      <x:c r="B25" s="51">
        <x:f>'Diagnóstico 84 Posts'!B10</x:f>
        <x:v>0.583333333333333</x:v>
      </x:c>
      <x:c r="C25" s="46" t="inlineStr">
        <x:is>
          <x:t xml:space="preserve">Indicador de concentração de baixo engajamento no recorte.</x:t>
        </x:is>
      </x:c>
    </x:row>
    <x:row r="26" s="39" customFormat="1" ht="24" customHeight="1">
      <x:c r="A26" s="44" t="inlineStr">
        <x:is>
          <x:t xml:space="preserve">% engajamento concentrado no top 20%</x:t>
        </x:is>
      </x:c>
      <x:c r="B26" s="51">
        <x:f>'Diagnóstico 84 Posts'!B11</x:f>
        <x:v>0.71156735102654</x:v>
      </x:c>
      <x:c r="C26" s="46" t="inlineStr">
        <x:is>
          <x:t xml:space="preserve">Participação do top 20% no engajamento total do recorte.</x:t>
        </x:is>
      </x:c>
    </x:row>
  </x:sheetData>
  <x:mergeCells>
    <x:mergeCell ref="A2:I2"/>
    <x:mergeCell ref="E4:I4"/>
    <x:mergeCell ref="E12:I12"/>
    <x:mergeCell ref="E6:I6"/>
    <x:mergeCell ref="E7:I7"/>
    <x:mergeCell ref="E10:I10"/>
    <x:mergeCell ref="A1:I1"/>
    <x:mergeCell ref="E5:I5"/>
    <x:mergeCell ref="E8:I8"/>
    <x:mergeCell ref="E9:I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0" style="39" customWidth="1"/>
    <x:col min="2" max="2" width="14" style="39" customWidth="1"/>
    <x:col min="3" max="3" width="26" style="39" customWidth="1"/>
    <x:col min="4" max="4" width="14" style="39" customWidth="1"/>
    <x:col min="5" max="5" width="24" style="39" customWidth="1"/>
    <x:col min="6" max="6" width="14" style="39" customWidth="1"/>
    <x:col min="7" max="7" width="14" style="39" customWidth="1"/>
    <x:col min="8" max="8" width="14" style="39" customWidth="1"/>
    <x:col min="9" max="9" width="14" style="39" customWidth="1"/>
  </x:cols>
  <x:sheetData>
    <x:row r="1" s="39" customFormat="1" ht="23" customHeight="1">
      <x:c r="A1" s="40" t="inlineStr">
        <x:is>
          <x:t xml:space="preserve">Base consolidada para dashboard ACIRV</x:t>
        </x:is>
      </x:c>
    </x:row>
    <x:row r="2" s="39" customFormat="1" ht="18" customHeight="1">
      <x:c r="A2" s="41" t="inlineStr">
        <x:is>
          <x:t xml:space="preserve">Visão geral refeita para ficar mais completa: leitura rápida, abas ativas, painel mensal sem lacunas, mídia paga, Instagram 90 dias e top conteúdos.</x:t>
        </x:is>
      </x:c>
    </x:row>
    <x:row r="4">
      <x:c r="A4" s="43" t="inlineStr">
        <x:is>
          <x:t xml:space="preserve">Leitura rápida</x:t>
        </x:is>
      </x:c>
      <x:c r="B4" s="96" t="n"/>
      <x:c r="C4" s="97" t="n"/>
      <x:c r="E4" s="43" t="inlineStr">
        <x:is>
          <x:t xml:space="preserve">Abas ativas e função</x:t>
        </x:is>
      </x:c>
      <x:c r="F4" s="96" t="n"/>
      <x:c r="G4" s="96" t="n"/>
      <x:c r="H4" s="96" t="n"/>
      <x:c r="I4" s="97" t="n"/>
    </x:row>
    <x:row r="5" s="39" customFormat="1" ht="24" customHeight="1">
      <x:c r="A5" s="44" t="inlineStr">
        <x:is>
          <x:t xml:space="preserve">Fontes lidas</x:t>
        </x:is>
      </x:c>
      <x:c r="B5" s="45">
        <x:f>COUNTA('Fontes Lidas'!A5:A999)</x:f>
        <x:v>31</x:v>
      </x:c>
      <x:c r="C5" s="46" t="inlineStr">
        <x:is>
          <x:t xml:space="preserve">Rastreabilidade geral do arquivo.</x:t>
        </x:is>
      </x:c>
      <x:c r="E5" s="53" t="inlineStr">
        <x:is>
          <x:t xml:space="preserve">Aba</x:t>
        </x:is>
      </x:c>
      <x:c r="F5" s="53" t="inlineStr">
        <x:is>
          <x:t xml:space="preserve">Status</x:t>
        </x:is>
      </x:c>
      <x:c r="G5" s="53" t="inlineStr">
        <x:is>
          <x:t xml:space="preserve">Uso principal</x:t>
        </x:is>
      </x:c>
      <x:c r="H5" s="96" t="n"/>
      <x:c r="I5" s="97" t="n"/>
    </x:row>
    <x:row r="6" s="39" customFormat="1" ht="22" customHeight="1">
      <x:c r="A6" s="44" t="inlineStr">
        <x:is>
          <x:t xml:space="preserve">Abas ativas no arquivo</x:t>
        </x:is>
      </x:c>
      <x:c r="B6" s="45">
        <x:f>19</x:f>
        <x:v>19</x:v>
      </x:c>
      <x:c r="C6" s="46" t="inlineStr">
        <x:is>
          <x:t xml:space="preserve">Número de guias atualmente existentes na pasta de trabalho.</x:t>
        </x:is>
      </x:c>
      <x:c r="E6" s="46" t="inlineStr">
        <x:is>
          <x:t xml:space="preserve">Resumo Executivo</x:t>
        </x:is>
      </x:c>
      <x:c r="F6" s="54" t="inlineStr">
        <x:is>
          <x:t xml:space="preserve">Ativa</x:t>
        </x:is>
      </x:c>
      <x:c r="G6" s="46" t="inlineStr">
        <x:is>
          <x:t xml:space="preserve">Cards e resumo dinâmico com métricas-chave.</x:t>
        </x:is>
      </x:c>
      <x:c r="H6" s="96" t="n"/>
      <x:c r="I6" s="97" t="n"/>
    </x:row>
    <x:row r="7" s="39" customFormat="1" ht="30" customHeight="1">
      <x:c r="A7" s="44" t="inlineStr">
        <x:is>
          <x:t xml:space="preserve">Período oficial disponível</x:t>
        </x:is>
      </x:c>
      <x:c r="B7" s="48" t="str">
        <x:f>'KPIs Mensais Oficiais'!B6&amp;" a "&amp;LOOKUP(2,1/('KPIs Mensais Oficiais'!$A$5:$A$999&lt;&gt;""),'KPIs Mensais Oficiais'!$B$5:$B$999)</x:f>
        <x:v>Agosto/2025 a Março/2026</x:v>
      </x:c>
      <x:c r="C7" s="46" t="inlineStr">
        <x:is>
          <x:t xml:space="preserve">O painel mensal completo abaixo usa apenas ago/2025 a mar/2026.</x:t>
        </x:is>
      </x:c>
      <x:c r="E7" s="46" t="inlineStr">
        <x:is>
          <x:t xml:space="preserve">Visao Geral</x:t>
        </x:is>
      </x:c>
      <x:c r="F7" s="54" t="inlineStr">
        <x:is>
          <x:t xml:space="preserve">Ativa</x:t>
        </x:is>
      </x:c>
      <x:c r="G7" s="46" t="inlineStr">
        <x:is>
          <x:t xml:space="preserve">Painel geral e leitura rápida da base.</x:t>
        </x:is>
      </x:c>
      <x:c r="H7" s="96" t="n"/>
      <x:c r="I7" s="97" t="n"/>
    </x:row>
    <x:row r="8" s="39" customFormat="1" ht="30" customHeight="1">
      <x:c r="A8" s="44" t="inlineStr">
        <x:is>
          <x:t xml:space="preserve">Último mês oficial</x:t>
        </x:is>
      </x:c>
      <x:c r="B8" s="48" t="str">
        <x:f>LOOKUP(2,1/('KPIs Mensais Oficiais'!$A$5:$A$999&lt;&gt;""),'KPIs Mensais Oficiais'!$B$5:$B$999)</x:f>
        <x:v>Março/2026</x:v>
      </x:c>
      <x:c r="C8" s="46" t="inlineStr">
        <x:is>
          <x:t xml:space="preserve">Identifica automaticamente a última linha preenchida dos KPIs oficiais.</x:t>
        </x:is>
      </x:c>
      <x:c r="E8" s="46" t="inlineStr">
        <x:is>
          <x:t xml:space="preserve">KPIs Mensais Oficiais</x:t>
        </x:is>
      </x:c>
      <x:c r="F8" s="54" t="inlineStr">
        <x:is>
          <x:t xml:space="preserve">Ativa</x:t>
        </x:is>
      </x:c>
      <x:c r="G8" s="46" t="inlineStr">
        <x:is>
          <x:t xml:space="preserve">Série histórica mensal oficial.</x:t>
        </x:is>
      </x:c>
      <x:c r="H8" s="96" t="n"/>
      <x:c r="I8" s="97" t="n"/>
    </x:row>
    <x:row r="9" s="39" customFormat="1" ht="30" customHeight="1">
      <x:c r="A9" s="44" t="inlineStr">
        <x:is>
          <x:t xml:space="preserve">Indicadores mensais completos</x:t>
        </x:is>
      </x:c>
      <x:c r="B9" s="45">
        <x:f>COUNTA(A20:A32)</x:f>
        <x:v>13</x:v>
      </x:c>
      <x:c r="C9" s="46" t="inlineStr">
        <x:is>
          <x:t xml:space="preserve">Contagem dos indicadores sem células vazias no período completo.</x:t>
        </x:is>
      </x:c>
      <x:c r="E9" s="46" t="inlineStr">
        <x:is>
          <x:t xml:space="preserve">Mídia Paga</x:t>
        </x:is>
      </x:c>
      <x:c r="F9" s="54" t="inlineStr">
        <x:is>
          <x:t xml:space="preserve">Ativa</x:t>
        </x:is>
      </x:c>
      <x:c r="G9" s="46" t="inlineStr">
        <x:is>
          <x:t xml:space="preserve">Relatórios consolidados de tráfego pago.</x:t>
        </x:is>
      </x:c>
      <x:c r="H9" s="96" t="n"/>
      <x:c r="I9" s="97" t="n"/>
    </x:row>
    <x:row r="10" s="39" customFormat="1" ht="30" customHeight="1">
      <x:c r="A10" s="44" t="inlineStr">
        <x:is>
          <x:t xml:space="preserve">Indicadores mensais parciais</x:t>
        </x:is>
      </x:c>
      <x:c r="B10" s="45">
        <x:f>COUNTA(A35:A41)</x:f>
        <x:v>7</x:v>
      </x:c>
      <x:c r="C10" s="46" t="inlineStr">
        <x:is>
          <x:t xml:space="preserve">Indicadores com lacunas que ficaram fora da matriz mensal.</x:t>
        </x:is>
      </x:c>
      <x:c r="E10" s="46" t="inlineStr">
        <x:is>
          <x:t xml:space="preserve">Instagram 90d Resumo</x:t>
        </x:is>
      </x:c>
      <x:c r="F10" s="54" t="inlineStr">
        <x:is>
          <x:t xml:space="preserve">Ativa</x:t>
        </x:is>
      </x:c>
      <x:c r="G10" s="46" t="inlineStr">
        <x:is>
          <x:t xml:space="preserve">Principais indicadores do export de 90 dias.</x:t>
        </x:is>
      </x:c>
      <x:c r="H10" s="96" t="n"/>
      <x:c r="I10" s="97" t="n"/>
    </x:row>
    <x:row r="11" s="39" customFormat="1" ht="30" customHeight="1">
      <x:c r="A11" s="44" t="inlineStr">
        <x:is>
          <x:t xml:space="preserve">Presenças Conecta 5</x:t>
        </x:is>
      </x:c>
      <x:c r="B11" s="45">
        <x:f>COUNTA('Conecta 5 Presença'!A5:A999)</x:f>
        <x:v>60</x:v>
      </x:c>
      <x:c r="C11" s="46" t="inlineStr">
        <x:is>
          <x:t xml:space="preserve">Contagem a partir da lista de presença parseada.</x:t>
        </x:is>
      </x:c>
      <x:c r="E11" s="46" t="inlineStr">
        <x:is>
          <x:t xml:space="preserve">Instagram Atividade Mensal</x:t>
        </x:is>
      </x:c>
      <x:c r="F11" s="54" t="inlineStr">
        <x:is>
          <x:t xml:space="preserve">Ativa</x:t>
        </x:is>
      </x:c>
      <x:c r="G11" s="46" t="inlineStr">
        <x:is>
          <x:t xml:space="preserve">Volume mensal de posts, reels, stories e seguidores.</x:t>
        </x:is>
      </x:c>
      <x:c r="H11" s="96" t="n"/>
      <x:c r="I11" s="97" t="n"/>
    </x:row>
    <x:row r="12" s="39" customFormat="1" ht="22" customHeight="1">
      <x:c r="E12" s="46" t="inlineStr">
        <x:is>
          <x:t xml:space="preserve">Top Conteúdos 84</x:t>
        </x:is>
      </x:c>
      <x:c r="F12" s="54" t="inlineStr">
        <x:is>
          <x:t xml:space="preserve">Ativa</x:t>
        </x:is>
      </x:c>
      <x:c r="G12" s="46" t="inlineStr">
        <x:is>
          <x:t xml:space="preserve">Melhores conteúdos por engajamento.</x:t>
        </x:is>
      </x:c>
      <x:c r="H12" s="96" t="n"/>
      <x:c r="I12" s="97" t="n"/>
    </x:row>
    <x:row r="13" s="39" customFormat="1" ht="22" customHeight="1">
      <x:c r="E13" s="46" t="inlineStr">
        <x:is>
          <x:t xml:space="preserve">Diagnóstico 84 Posts</x:t>
        </x:is>
      </x:c>
      <x:c r="F13" s="54" t="inlineStr">
        <x:is>
          <x:t xml:space="preserve">Ativa</x:t>
        </x:is>
      </x:c>
      <x:c r="G13" s="46" t="inlineStr">
        <x:is>
          <x:t xml:space="preserve">Diagnóstico agregado do recorte de 84 posts.</x:t>
        </x:is>
      </x:c>
      <x:c r="H13" s="96" t="n"/>
      <x:c r="I13" s="97" t="n"/>
    </x:row>
    <x:row r="14" s="39" customFormat="1" ht="22" customHeight="1">
      <x:c r="E14" s="46" t="inlineStr">
        <x:is>
          <x:t xml:space="preserve">Conecta 5 Presença</x:t>
        </x:is>
      </x:c>
      <x:c r="F14" s="54" t="inlineStr">
        <x:is>
          <x:t xml:space="preserve">Ativa</x:t>
        </x:is>
      </x:c>
      <x:c r="G14" s="46" t="inlineStr">
        <x:is>
          <x:t xml:space="preserve">Base de presença do evento.</x:t>
        </x:is>
      </x:c>
      <x:c r="H14" s="96" t="n"/>
      <x:c r="I14" s="97" t="n"/>
    </x:row>
    <x:row r="15" s="39" customFormat="1" ht="22" customHeight="1">
      <x:c r="E15" s="46" t="inlineStr">
        <x:is>
          <x:t xml:space="preserve">Metas 2026</x:t>
        </x:is>
      </x:c>
      <x:c r="F15" s="54" t="inlineStr">
        <x:is>
          <x:t xml:space="preserve">Ativa</x:t>
        </x:is>
      </x:c>
      <x:c r="G15" s="46" t="inlineStr">
        <x:is>
          <x:t xml:space="preserve">Metas estratégicas úteis para dashboard.</x:t>
        </x:is>
      </x:c>
      <x:c r="H15" s="96" t="n"/>
      <x:c r="I15" s="97" t="n"/>
    </x:row>
    <x:row r="16" s="39" customFormat="1" ht="22" customHeight="1">
      <x:c r="E16" s="46" t="inlineStr">
        <x:is>
          <x:t xml:space="preserve">Fontes Lidas</x:t>
        </x:is>
      </x:c>
      <x:c r="F16" s="54" t="inlineStr">
        <x:is>
          <x:t xml:space="preserve">Ativa</x:t>
        </x:is>
      </x:c>
      <x:c r="G16" s="46" t="inlineStr">
        <x:is>
          <x:t xml:space="preserve">Rastreabilidade do que foi lido e usado.</x:t>
        </x:is>
      </x:c>
      <x:c r="H16" s="96" t="n"/>
      <x:c r="I16" s="97" t="n"/>
    </x:row>
    <x:row r="18">
      <x:c r="A18" s="43" t="inlineStr">
        <x:is>
          <x:t xml:space="preserve">Painel mensal oficial completo (somente indicadores sem lacunas de ago/2025 a mar/2026)</x:t>
        </x:is>
      </x:c>
      <x:c r="B18" s="96" t="n"/>
      <x:c r="C18" s="96" t="n"/>
      <x:c r="D18" s="96" t="n"/>
      <x:c r="E18" s="96" t="n"/>
      <x:c r="F18" s="96" t="n"/>
      <x:c r="G18" s="96" t="n"/>
      <x:c r="H18" s="96" t="n"/>
      <x:c r="I18" s="97" t="n"/>
    </x:row>
    <x:row r="19" s="39" customFormat="1" ht="28" customHeight="1">
      <x:c r="A19" s="55" t="inlineStr">
        <x:is>
          <x:t xml:space="preserve">Indicador</x:t>
        </x:is>
      </x:c>
      <x:c r="B19" s="56" t="str">
        <x:f>'KPIs Mensais Oficiais'!B6</x:f>
        <x:v>Agosto/2025</x:v>
      </x:c>
      <x:c r="C19" s="56" t="str">
        <x:f>'KPIs Mensais Oficiais'!B7</x:f>
        <x:v>Setembro/2025</x:v>
      </x:c>
      <x:c r="D19" s="56" t="str">
        <x:f>'KPIs Mensais Oficiais'!B8</x:f>
        <x:v>Outubro/2025</x:v>
      </x:c>
      <x:c r="E19" s="56" t="str">
        <x:f>'KPIs Mensais Oficiais'!B9</x:f>
        <x:v>Novembro/2025</x:v>
      </x:c>
      <x:c r="F19" s="56" t="str">
        <x:f>'KPIs Mensais Oficiais'!B10</x:f>
        <x:v>Dezembro/2025</x:v>
      </x:c>
      <x:c r="G19" s="56" t="str">
        <x:f>'KPIs Mensais Oficiais'!B11</x:f>
        <x:v>Janeiro/2026</x:v>
      </x:c>
      <x:c r="H19" s="56" t="str">
        <x:f>'KPIs Mensais Oficiais'!B12</x:f>
        <x:v>Fevereiro/2026</x:v>
      </x:c>
      <x:c r="I19" s="56" t="str">
        <x:f>'KPIs Mensais Oficiais'!B13</x:f>
        <x:v>Março/2026</x:v>
      </x:c>
    </x:row>
    <x:row r="20" s="39" customFormat="1" ht="20" customHeight="1">
      <x:c r="A20" s="44" t="inlineStr">
        <x:is>
          <x:t xml:space="preserve">Seguidores fim do mês</x:t>
        </x:is>
      </x:c>
      <x:c r="B20" s="57">
        <x:f>INDEX('KPIs Mensais Oficiais'!$A$5:$Y$999,MATCH(B19,'KPIs Mensais Oficiais'!$B$5:$B$999,0),MATCH("seguidores_fim_mes",'KPIs Mensais Oficiais'!$A$4:$Y$4,0))</x:f>
        <x:v>7424</x:v>
      </x:c>
      <x:c r="C20" s="57">
        <x:f>INDEX('KPIs Mensais Oficiais'!$A$5:$Y$999,MATCH(C19,'KPIs Mensais Oficiais'!$B$5:$B$999,0),MATCH("seguidores_fim_mes",'KPIs Mensais Oficiais'!$A$4:$Y$4,0))</x:f>
        <x:v>7729</x:v>
      </x:c>
      <x:c r="D20" s="57">
        <x:f>INDEX('KPIs Mensais Oficiais'!$A$5:$Y$999,MATCH(D19,'KPIs Mensais Oficiais'!$B$5:$B$999,0),MATCH("seguidores_fim_mes",'KPIs Mensais Oficiais'!$A$4:$Y$4,0))</x:f>
        <x:v>8002</x:v>
      </x:c>
      <x:c r="E20" s="57">
        <x:f>INDEX('KPIs Mensais Oficiais'!$A$5:$Y$999,MATCH(E19,'KPIs Mensais Oficiais'!$B$5:$B$999,0),MATCH("seguidores_fim_mes",'KPIs Mensais Oficiais'!$A$4:$Y$4,0))</x:f>
        <x:v>8203</x:v>
      </x:c>
      <x:c r="F20" s="57">
        <x:f>INDEX('KPIs Mensais Oficiais'!$A$5:$Y$999,MATCH(F19,'KPIs Mensais Oficiais'!$B$5:$B$999,0),MATCH("seguidores_fim_mes",'KPIs Mensais Oficiais'!$A$4:$Y$4,0))</x:f>
        <x:v>8314</x:v>
      </x:c>
      <x:c r="G20" s="57">
        <x:f>INDEX('KPIs Mensais Oficiais'!$A$5:$Y$999,MATCH(G19,'KPIs Mensais Oficiais'!$B$5:$B$999,0),MATCH("seguidores_fim_mes",'KPIs Mensais Oficiais'!$A$4:$Y$4,0))</x:f>
        <x:v>8448</x:v>
      </x:c>
      <x:c r="H20" s="57">
        <x:f>INDEX('KPIs Mensais Oficiais'!$A$5:$Y$999,MATCH(H19,'KPIs Mensais Oficiais'!$B$5:$B$999,0),MATCH("seguidores_fim_mes",'KPIs Mensais Oficiais'!$A$4:$Y$4,0))</x:f>
        <x:v>8603</x:v>
      </x:c>
      <x:c r="I20" s="57">
        <x:f>INDEX('KPIs Mensais Oficiais'!$A$5:$Y$999,MATCH(I19,'KPIs Mensais Oficiais'!$B$5:$B$999,0),MATCH("seguidores_fim_mes",'KPIs Mensais Oficiais'!$A$4:$Y$4,0))</x:f>
        <x:v>8885</x:v>
      </x:c>
    </x:row>
    <x:row r="21" s="39" customFormat="1" ht="20" customHeight="1">
      <x:c r="A21" s="44" t="inlineStr">
        <x:is>
          <x:t xml:space="preserve">Crescimento líquido seguidores</x:t>
        </x:is>
      </x:c>
      <x:c r="B21" s="57">
        <x:f>INDEX('KPIs Mensais Oficiais'!$A$5:$Y$999,MATCH(B19,'KPIs Mensais Oficiais'!$B$5:$B$999,0),MATCH("total_crescimento_seguidores",'KPIs Mensais Oficiais'!$A$4:$Y$4,0))</x:f>
        <x:v>305</x:v>
      </x:c>
      <x:c r="C21" s="57">
        <x:f>INDEX('KPIs Mensais Oficiais'!$A$5:$Y$999,MATCH(C19,'KPIs Mensais Oficiais'!$B$5:$B$999,0),MATCH("total_crescimento_seguidores",'KPIs Mensais Oficiais'!$A$4:$Y$4,0))</x:f>
        <x:v>291</x:v>
      </x:c>
      <x:c r="D21" s="57">
        <x:f>INDEX('KPIs Mensais Oficiais'!$A$5:$Y$999,MATCH(D19,'KPIs Mensais Oficiais'!$B$5:$B$999,0),MATCH("total_crescimento_seguidores",'KPIs Mensais Oficiais'!$A$4:$Y$4,0))</x:f>
        <x:v>325</x:v>
      </x:c>
      <x:c r="E21" s="57">
        <x:f>INDEX('KPIs Mensais Oficiais'!$A$5:$Y$999,MATCH(E19,'KPIs Mensais Oficiais'!$B$5:$B$999,0),MATCH("total_crescimento_seguidores",'KPIs Mensais Oficiais'!$A$4:$Y$4,0))</x:f>
        <x:v>236</x:v>
      </x:c>
      <x:c r="F21" s="57">
        <x:f>INDEX('KPIs Mensais Oficiais'!$A$5:$Y$999,MATCH(F19,'KPIs Mensais Oficiais'!$B$5:$B$999,0),MATCH("total_crescimento_seguidores",'KPIs Mensais Oficiais'!$A$4:$Y$4,0))</x:f>
        <x:v>126</x:v>
      </x:c>
      <x:c r="G21" s="57">
        <x:f>INDEX('KPIs Mensais Oficiais'!$A$5:$Y$999,MATCH(G19,'KPIs Mensais Oficiais'!$B$5:$B$999,0),MATCH("total_crescimento_seguidores",'KPIs Mensais Oficiais'!$A$4:$Y$4,0))</x:f>
        <x:v>153</x:v>
      </x:c>
      <x:c r="H21" s="57">
        <x:f>INDEX('KPIs Mensais Oficiais'!$A$5:$Y$999,MATCH(H19,'KPIs Mensais Oficiais'!$B$5:$B$999,0),MATCH("total_crescimento_seguidores",'KPIs Mensais Oficiais'!$A$4:$Y$4,0))</x:f>
        <x:v>158</x:v>
      </x:c>
      <x:c r="I21" s="57">
        <x:f>INDEX('KPIs Mensais Oficiais'!$A$5:$Y$999,MATCH(I19,'KPIs Mensais Oficiais'!$B$5:$B$999,0),MATCH("total_crescimento_seguidores",'KPIs Mensais Oficiais'!$A$4:$Y$4,0))</x:f>
        <x:v>217</x:v>
      </x:c>
    </x:row>
    <x:row r="22" s="39" customFormat="1" ht="20" customHeight="1">
      <x:c r="A22" s="44" t="inlineStr">
        <x:is>
          <x:t xml:space="preserve">Começaram a seguir</x:t>
        </x:is>
      </x:c>
      <x:c r="B22" s="57">
        <x:f>INDEX('KPIs Mensais Oficiais'!$A$5:$Y$999,MATCH(B19,'KPIs Mensais Oficiais'!$B$5:$B$999,0),MATCH("começaram_a_seguir",'KPIs Mensais Oficiais'!$A$4:$Y$4,0))</x:f>
        <x:v>367</x:v>
      </x:c>
      <x:c r="C22" s="57">
        <x:f>INDEX('KPIs Mensais Oficiais'!$A$5:$Y$999,MATCH(C19,'KPIs Mensais Oficiais'!$B$5:$B$999,0),MATCH("começaram_a_seguir",'KPIs Mensais Oficiais'!$A$4:$Y$4,0))</x:f>
        <x:v>376</x:v>
      </x:c>
      <x:c r="D22" s="57">
        <x:f>INDEX('KPIs Mensais Oficiais'!$A$5:$Y$999,MATCH(D19,'KPIs Mensais Oficiais'!$B$5:$B$999,0),MATCH("começaram_a_seguir",'KPIs Mensais Oficiais'!$A$4:$Y$4,0))</x:f>
        <x:v>430</x:v>
      </x:c>
      <x:c r="E22" s="57">
        <x:f>INDEX('KPIs Mensais Oficiais'!$A$5:$Y$999,MATCH(E19,'KPIs Mensais Oficiais'!$B$5:$B$999,0),MATCH("começaram_a_seguir",'KPIs Mensais Oficiais'!$A$4:$Y$4,0))</x:f>
        <x:v>331</x:v>
      </x:c>
      <x:c r="F22" s="57">
        <x:f>INDEX('KPIs Mensais Oficiais'!$A$5:$Y$999,MATCH(F19,'KPIs Mensais Oficiais'!$B$5:$B$999,0),MATCH("começaram_a_seguir",'KPIs Mensais Oficiais'!$A$4:$Y$4,0))</x:f>
        <x:v>218</x:v>
      </x:c>
      <x:c r="G22" s="57">
        <x:f>INDEX('KPIs Mensais Oficiais'!$A$5:$Y$999,MATCH(G19,'KPIs Mensais Oficiais'!$B$5:$B$999,0),MATCH("começaram_a_seguir",'KPIs Mensais Oficiais'!$A$4:$Y$4,0))</x:f>
        <x:v>244</x:v>
      </x:c>
      <x:c r="H22" s="57">
        <x:f>INDEX('KPIs Mensais Oficiais'!$A$5:$Y$999,MATCH(H19,'KPIs Mensais Oficiais'!$B$5:$B$999,0),MATCH("começaram_a_seguir",'KPIs Mensais Oficiais'!$A$4:$Y$4,0))</x:f>
        <x:v>253</x:v>
      </x:c>
      <x:c r="I22" s="57">
        <x:f>INDEX('KPIs Mensais Oficiais'!$A$5:$Y$999,MATCH(I19,'KPIs Mensais Oficiais'!$B$5:$B$999,0),MATCH("começaram_a_seguir",'KPIs Mensais Oficiais'!$A$4:$Y$4,0))</x:f>
        <x:v>313</x:v>
      </x:c>
    </x:row>
    <x:row r="23" s="39" customFormat="1" ht="20" customHeight="1">
      <x:c r="A23" s="44" t="inlineStr">
        <x:is>
          <x:t xml:space="preserve">Deixaram de seguir</x:t>
        </x:is>
      </x:c>
      <x:c r="B23" s="57">
        <x:f>INDEX('KPIs Mensais Oficiais'!$A$5:$Y$999,MATCH(B19,'KPIs Mensais Oficiais'!$B$5:$B$999,0),MATCH("Deixaram_de_seguir",'KPIs Mensais Oficiais'!$A$4:$Y$4,0))</x:f>
        <x:v>62</x:v>
      </x:c>
      <x:c r="C23" s="57">
        <x:f>INDEX('KPIs Mensais Oficiais'!$A$5:$Y$999,MATCH(C19,'KPIs Mensais Oficiais'!$B$5:$B$999,0),MATCH("Deixaram_de_seguir",'KPIs Mensais Oficiais'!$A$4:$Y$4,0))</x:f>
        <x:v>85</x:v>
      </x:c>
      <x:c r="D23" s="57">
        <x:f>INDEX('KPIs Mensais Oficiais'!$A$5:$Y$999,MATCH(D19,'KPIs Mensais Oficiais'!$B$5:$B$999,0),MATCH("Deixaram_de_seguir",'KPIs Mensais Oficiais'!$A$4:$Y$4,0))</x:f>
        <x:v>105</x:v>
      </x:c>
      <x:c r="E23" s="57">
        <x:f>INDEX('KPIs Mensais Oficiais'!$A$5:$Y$999,MATCH(E19,'KPIs Mensais Oficiais'!$B$5:$B$999,0),MATCH("Deixaram_de_seguir",'KPIs Mensais Oficiais'!$A$4:$Y$4,0))</x:f>
        <x:v>95</x:v>
      </x:c>
      <x:c r="F23" s="57">
        <x:f>INDEX('KPIs Mensais Oficiais'!$A$5:$Y$999,MATCH(F19,'KPIs Mensais Oficiais'!$B$5:$B$999,0),MATCH("Deixaram_de_seguir",'KPIs Mensais Oficiais'!$A$4:$Y$4,0))</x:f>
        <x:v>92</x:v>
      </x:c>
      <x:c r="G23" s="57">
        <x:f>INDEX('KPIs Mensais Oficiais'!$A$5:$Y$999,MATCH(G19,'KPIs Mensais Oficiais'!$B$5:$B$999,0),MATCH("Deixaram_de_seguir",'KPIs Mensais Oficiais'!$A$4:$Y$4,0))</x:f>
        <x:v>91</x:v>
      </x:c>
      <x:c r="H23" s="57">
        <x:f>INDEX('KPIs Mensais Oficiais'!$A$5:$Y$999,MATCH(H19,'KPIs Mensais Oficiais'!$B$5:$B$999,0),MATCH("Deixaram_de_seguir",'KPIs Mensais Oficiais'!$A$4:$Y$4,0))</x:f>
        <x:v>95</x:v>
      </x:c>
      <x:c r="I23" s="57">
        <x:f>INDEX('KPIs Mensais Oficiais'!$A$5:$Y$999,MATCH(I19,'KPIs Mensais Oficiais'!$B$5:$B$999,0),MATCH("Deixaram_de_seguir",'KPIs Mensais Oficiais'!$A$4:$Y$4,0))</x:f>
        <x:v>96</x:v>
      </x:c>
    </x:row>
    <x:row r="24" s="39" customFormat="1" ht="20" customHeight="1">
      <x:c r="A24" s="44" t="inlineStr">
        <x:is>
          <x:t xml:space="preserve">Visualizações</x:t>
        </x:is>
      </x:c>
      <x:c r="B24" s="57">
        <x:f>INDEX('KPIs Mensais Oficiais'!$A$5:$Y$999,MATCH(B19,'KPIs Mensais Oficiais'!$B$5:$B$999,0),MATCH("visualizacoes",'KPIs Mensais Oficiais'!$A$4:$Y$4,0))</x:f>
        <x:v>141000</x:v>
      </x:c>
      <x:c r="C24" s="57">
        <x:f>INDEX('KPIs Mensais Oficiais'!$A$5:$Y$999,MATCH(C19,'KPIs Mensais Oficiais'!$B$5:$B$999,0),MATCH("visualizacoes",'KPIs Mensais Oficiais'!$A$4:$Y$4,0))</x:f>
        <x:v>310000</x:v>
      </x:c>
      <x:c r="D24" s="57">
        <x:f>INDEX('KPIs Mensais Oficiais'!$A$5:$Y$999,MATCH(D19,'KPIs Mensais Oficiais'!$B$5:$B$999,0),MATCH("visualizacoes",'KPIs Mensais Oficiais'!$A$4:$Y$4,0))</x:f>
        <x:v>330000</x:v>
      </x:c>
      <x:c r="E24" s="57">
        <x:f>INDEX('KPIs Mensais Oficiais'!$A$5:$Y$999,MATCH(E19,'KPIs Mensais Oficiais'!$B$5:$B$999,0),MATCH("visualizacoes",'KPIs Mensais Oficiais'!$A$4:$Y$4,0))</x:f>
        <x:v>430445</x:v>
      </x:c>
      <x:c r="F24" s="57">
        <x:f>INDEX('KPIs Mensais Oficiais'!$A$5:$Y$999,MATCH(F19,'KPIs Mensais Oficiais'!$B$5:$B$999,0),MATCH("visualizacoes",'KPIs Mensais Oficiais'!$A$4:$Y$4,0))</x:f>
        <x:v>238492</x:v>
      </x:c>
      <x:c r="G24" s="57">
        <x:f>INDEX('KPIs Mensais Oficiais'!$A$5:$Y$999,MATCH(G19,'KPIs Mensais Oficiais'!$B$5:$B$999,0),MATCH("visualizacoes",'KPIs Mensais Oficiais'!$A$4:$Y$4,0))</x:f>
        <x:v>145864</x:v>
      </x:c>
      <x:c r="H24" s="57">
        <x:f>INDEX('KPIs Mensais Oficiais'!$A$5:$Y$999,MATCH(H19,'KPIs Mensais Oficiais'!$B$5:$B$999,0),MATCH("visualizacoes",'KPIs Mensais Oficiais'!$A$4:$Y$4,0))</x:f>
        <x:v>200193</x:v>
      </x:c>
      <x:c r="I24" s="57">
        <x:f>INDEX('KPIs Mensais Oficiais'!$A$5:$Y$999,MATCH(I19,'KPIs Mensais Oficiais'!$B$5:$B$999,0),MATCH("visualizacoes",'KPIs Mensais Oficiais'!$A$4:$Y$4,0))</x:f>
        <x:v>257518</x:v>
      </x:c>
    </x:row>
    <x:row r="25" s="39" customFormat="1" ht="20" customHeight="1">
      <x:c r="A25" s="44" t="inlineStr">
        <x:is>
          <x:t xml:space="preserve">% não seguidores</x:t>
        </x:is>
      </x:c>
      <x:c r="B25" s="58">
        <x:f>INDEX('KPIs Mensais Oficiais'!$A$5:$Y$999,MATCH(B19,'KPIs Mensais Oficiais'!$B$5:$B$999,0),MATCH("pct_nao_seguidores",'KPIs Mensais Oficiais'!$A$4:$Y$4,0))</x:f>
        <x:v>0.44</x:v>
      </x:c>
      <x:c r="C25" s="58">
        <x:f>INDEX('KPIs Mensais Oficiais'!$A$5:$Y$999,MATCH(C19,'KPIs Mensais Oficiais'!$B$5:$B$999,0),MATCH("pct_nao_seguidores",'KPIs Mensais Oficiais'!$A$4:$Y$4,0))</x:f>
        <x:v>0.54</x:v>
      </x:c>
      <x:c r="D25" s="58">
        <x:f>INDEX('KPIs Mensais Oficiais'!$A$5:$Y$999,MATCH(D19,'KPIs Mensais Oficiais'!$B$5:$B$999,0),MATCH("pct_nao_seguidores",'KPIs Mensais Oficiais'!$A$4:$Y$4,0))</x:f>
        <x:v>0.57</x:v>
      </x:c>
      <x:c r="E25" s="58">
        <x:f>INDEX('KPIs Mensais Oficiais'!$A$5:$Y$999,MATCH(E19,'KPIs Mensais Oficiais'!$B$5:$B$999,0),MATCH("pct_nao_seguidores",'KPIs Mensais Oficiais'!$A$4:$Y$4,0))</x:f>
        <x:v>0.69</x:v>
      </x:c>
      <x:c r="F25" s="58">
        <x:f>INDEX('KPIs Mensais Oficiais'!$A$5:$Y$999,MATCH(F19,'KPIs Mensais Oficiais'!$B$5:$B$999,0),MATCH("pct_nao_seguidores",'KPIs Mensais Oficiais'!$A$4:$Y$4,0))</x:f>
        <x:v>0.673</x:v>
      </x:c>
      <x:c r="G25" s="58">
        <x:f>INDEX('KPIs Mensais Oficiais'!$A$5:$Y$999,MATCH(G19,'KPIs Mensais Oficiais'!$B$5:$B$999,0),MATCH("pct_nao_seguidores",'KPIs Mensais Oficiais'!$A$4:$Y$4,0))</x:f>
        <x:v>0.691</x:v>
      </x:c>
      <x:c r="H25" s="58">
        <x:f>INDEX('KPIs Mensais Oficiais'!$A$5:$Y$999,MATCH(H19,'KPIs Mensais Oficiais'!$B$5:$B$999,0),MATCH("pct_nao_seguidores",'KPIs Mensais Oficiais'!$A$4:$Y$4,0))</x:f>
        <x:v>0.623</x:v>
      </x:c>
      <x:c r="I25" s="58">
        <x:f>INDEX('KPIs Mensais Oficiais'!$A$5:$Y$999,MATCH(I19,'KPIs Mensais Oficiais'!$B$5:$B$999,0),MATCH("pct_nao_seguidores",'KPIs Mensais Oficiais'!$A$4:$Y$4,0))</x:f>
        <x:v>0.635</x:v>
      </x:c>
    </x:row>
    <x:row r="26" s="39" customFormat="1" ht="20" customHeight="1">
      <x:c r="A26" s="44" t="inlineStr">
        <x:is>
          <x:t xml:space="preserve">Posts feed</x:t>
        </x:is>
      </x:c>
      <x:c r="B26" s="57">
        <x:f>INDEX('KPIs Mensais Oficiais'!$A$5:$Y$999,MATCH(B19,'KPIs Mensais Oficiais'!$B$5:$B$999,0),MATCH("posts_feed",'KPIs Mensais Oficiais'!$A$4:$Y$4,0))</x:f>
        <x:v>45</x:v>
      </x:c>
      <x:c r="C26" s="57">
        <x:f>INDEX('KPIs Mensais Oficiais'!$A$5:$Y$999,MATCH(C19,'KPIs Mensais Oficiais'!$B$5:$B$999,0),MATCH("posts_feed",'KPIs Mensais Oficiais'!$A$4:$Y$4,0))</x:f>
        <x:v>56</x:v>
      </x:c>
      <x:c r="D26" s="57">
        <x:f>INDEX('KPIs Mensais Oficiais'!$A$5:$Y$999,MATCH(D19,'KPIs Mensais Oficiais'!$B$5:$B$999,0),MATCH("posts_feed",'KPIs Mensais Oficiais'!$A$4:$Y$4,0))</x:f>
        <x:v>68</x:v>
      </x:c>
      <x:c r="E26" s="57">
        <x:f>INDEX('KPIs Mensais Oficiais'!$A$5:$Y$999,MATCH(E19,'KPIs Mensais Oficiais'!$B$5:$B$999,0),MATCH("posts_feed",'KPIs Mensais Oficiais'!$A$4:$Y$4,0))</x:f>
        <x:v>60</x:v>
      </x:c>
      <x:c r="F26" s="57">
        <x:f>INDEX('KPIs Mensais Oficiais'!$A$5:$Y$999,MATCH(F19,'KPIs Mensais Oficiais'!$B$5:$B$999,0),MATCH("posts_feed",'KPIs Mensais Oficiais'!$A$4:$Y$4,0))</x:f>
        <x:v>31</x:v>
      </x:c>
      <x:c r="G26" s="57">
        <x:f>INDEX('KPIs Mensais Oficiais'!$A$5:$Y$999,MATCH(G19,'KPIs Mensais Oficiais'!$B$5:$B$999,0),MATCH("posts_feed",'KPIs Mensais Oficiais'!$A$4:$Y$4,0))</x:f>
        <x:v>24</x:v>
      </x:c>
      <x:c r="H26" s="57">
        <x:f>INDEX('KPIs Mensais Oficiais'!$A$5:$Y$999,MATCH(H19,'KPIs Mensais Oficiais'!$B$5:$B$999,0),MATCH("posts_feed",'KPIs Mensais Oficiais'!$A$4:$Y$4,0))</x:f>
        <x:v>25</x:v>
      </x:c>
      <x:c r="I26" s="57">
        <x:f>INDEX('KPIs Mensais Oficiais'!$A$5:$Y$999,MATCH(I19,'KPIs Mensais Oficiais'!$B$5:$B$999,0),MATCH("posts_feed",'KPIs Mensais Oficiais'!$A$4:$Y$4,0))</x:f>
        <x:v>40</x:v>
      </x:c>
    </x:row>
    <x:row r="27" s="39" customFormat="1" ht="20" customHeight="1">
      <x:c r="A27" s="44" t="inlineStr">
        <x:is>
          <x:t xml:space="preserve">Stories</x:t>
        </x:is>
      </x:c>
      <x:c r="B27" s="57">
        <x:f>INDEX('KPIs Mensais Oficiais'!$A$5:$Y$999,MATCH(B19,'KPIs Mensais Oficiais'!$B$5:$B$999,0),MATCH("stories",'KPIs Mensais Oficiais'!$A$4:$Y$4,0))</x:f>
        <x:v>11</x:v>
      </x:c>
      <x:c r="C27" s="57">
        <x:f>INDEX('KPIs Mensais Oficiais'!$A$5:$Y$999,MATCH(C19,'KPIs Mensais Oficiais'!$B$5:$B$999,0),MATCH("stories",'KPIs Mensais Oficiais'!$A$4:$Y$4,0))</x:f>
        <x:v>123</x:v>
      </x:c>
      <x:c r="D27" s="57">
        <x:f>INDEX('KPIs Mensais Oficiais'!$A$5:$Y$999,MATCH(D19,'KPIs Mensais Oficiais'!$B$5:$B$999,0),MATCH("stories",'KPIs Mensais Oficiais'!$A$4:$Y$4,0))</x:f>
        <x:v>121</x:v>
      </x:c>
      <x:c r="E27" s="57">
        <x:f>INDEX('KPIs Mensais Oficiais'!$A$5:$Y$999,MATCH(E19,'KPIs Mensais Oficiais'!$B$5:$B$999,0),MATCH("stories",'KPIs Mensais Oficiais'!$A$4:$Y$4,0))</x:f>
        <x:v>192</x:v>
      </x:c>
      <x:c r="F27" s="57">
        <x:f>INDEX('KPIs Mensais Oficiais'!$A$5:$Y$999,MATCH(F19,'KPIs Mensais Oficiais'!$B$5:$B$999,0),MATCH("stories",'KPIs Mensais Oficiais'!$A$4:$Y$4,0))</x:f>
        <x:v>173</x:v>
      </x:c>
      <x:c r="G27" s="57">
        <x:f>INDEX('KPIs Mensais Oficiais'!$A$5:$Y$999,MATCH(G19,'KPIs Mensais Oficiais'!$B$5:$B$999,0),MATCH("stories",'KPIs Mensais Oficiais'!$A$4:$Y$4,0))</x:f>
        <x:v>54</x:v>
      </x:c>
      <x:c r="H27" s="57">
        <x:f>INDEX('KPIs Mensais Oficiais'!$A$5:$Y$999,MATCH(H19,'KPIs Mensais Oficiais'!$B$5:$B$999,0),MATCH("stories",'KPIs Mensais Oficiais'!$A$4:$Y$4,0))</x:f>
        <x:v>219</x:v>
      </x:c>
      <x:c r="I27" s="57">
        <x:f>INDEX('KPIs Mensais Oficiais'!$A$5:$Y$999,MATCH(I19,'KPIs Mensais Oficiais'!$B$5:$B$999,0),MATCH("stories",'KPIs Mensais Oficiais'!$A$4:$Y$4,0))</x:f>
        <x:v>325</x:v>
      </x:c>
    </x:row>
    <x:row r="28" s="39" customFormat="1" ht="20" customHeight="1">
      <x:c r="A28" s="44" t="inlineStr">
        <x:is>
          <x:t xml:space="preserve">Reels</x:t>
        </x:is>
      </x:c>
      <x:c r="B28" s="57">
        <x:f>INDEX('KPIs Mensais Oficiais'!$A$5:$Y$999,MATCH(B19,'KPIs Mensais Oficiais'!$B$5:$B$999,0),MATCH("reels",'KPIs Mensais Oficiais'!$A$4:$Y$4,0))</x:f>
        <x:v>9</x:v>
      </x:c>
      <x:c r="C28" s="57">
        <x:f>INDEX('KPIs Mensais Oficiais'!$A$5:$Y$999,MATCH(C19,'KPIs Mensais Oficiais'!$B$5:$B$999,0),MATCH("reels",'KPIs Mensais Oficiais'!$A$4:$Y$4,0))</x:f>
        <x:v>7</x:v>
      </x:c>
      <x:c r="D28" s="57">
        <x:f>INDEX('KPIs Mensais Oficiais'!$A$5:$Y$999,MATCH(D19,'KPIs Mensais Oficiais'!$B$5:$B$999,0),MATCH("reels",'KPIs Mensais Oficiais'!$A$4:$Y$4,0))</x:f>
        <x:v>5</x:v>
      </x:c>
      <x:c r="E28" s="57">
        <x:f>INDEX('KPIs Mensais Oficiais'!$A$5:$Y$999,MATCH(E19,'KPIs Mensais Oficiais'!$B$5:$B$999,0),MATCH("reels",'KPIs Mensais Oficiais'!$A$4:$Y$4,0))</x:f>
        <x:v>16</x:v>
      </x:c>
      <x:c r="F28" s="57">
        <x:f>INDEX('KPIs Mensais Oficiais'!$A$5:$Y$999,MATCH(F19,'KPIs Mensais Oficiais'!$B$5:$B$999,0),MATCH("reels",'KPIs Mensais Oficiais'!$A$4:$Y$4,0))</x:f>
        <x:v>16</x:v>
      </x:c>
      <x:c r="G28" s="57">
        <x:f>INDEX('KPIs Mensais Oficiais'!$A$5:$Y$999,MATCH(G19,'KPIs Mensais Oficiais'!$B$5:$B$999,0),MATCH("reels",'KPIs Mensais Oficiais'!$A$4:$Y$4,0))</x:f>
        <x:v>2</x:v>
      </x:c>
      <x:c r="H28" s="57">
        <x:f>INDEX('KPIs Mensais Oficiais'!$A$5:$Y$999,MATCH(H19,'KPIs Mensais Oficiais'!$B$5:$B$999,0),MATCH("reels",'KPIs Mensais Oficiais'!$A$4:$Y$4,0))</x:f>
        <x:v>7</x:v>
      </x:c>
      <x:c r="I28" s="57">
        <x:f>INDEX('KPIs Mensais Oficiais'!$A$5:$Y$999,MATCH(I19,'KPIs Mensais Oficiais'!$B$5:$B$999,0),MATCH("reels",'KPIs Mensais Oficiais'!$A$4:$Y$4,0))</x:f>
        <x:v>6</x:v>
      </x:c>
    </x:row>
    <x:row r="29" s="39" customFormat="1" ht="20" customHeight="1">
      <x:c r="A29" s="44" t="inlineStr">
        <x:is>
          <x:t xml:space="preserve">Interações totais</x:t>
        </x:is>
      </x:c>
      <x:c r="B29" s="57">
        <x:f>INDEX('KPIs Mensais Oficiais'!$A$5:$Y$999,MATCH(B19,'KPIs Mensais Oficiais'!$B$5:$B$999,0),MATCH("interacoes",'KPIs Mensais Oficiais'!$A$4:$Y$4,0))</x:f>
        <x:v>3700</x:v>
      </x:c>
      <x:c r="C29" s="57">
        <x:f>INDEX('KPIs Mensais Oficiais'!$A$5:$Y$999,MATCH(C19,'KPIs Mensais Oficiais'!$B$5:$B$999,0),MATCH("interacoes",'KPIs Mensais Oficiais'!$A$4:$Y$4,0))</x:f>
        <x:v>4991</x:v>
      </x:c>
      <x:c r="D29" s="57">
        <x:f>INDEX('KPIs Mensais Oficiais'!$A$5:$Y$999,MATCH(D19,'KPIs Mensais Oficiais'!$B$5:$B$999,0),MATCH("interacoes",'KPIs Mensais Oficiais'!$A$4:$Y$4,0))</x:f>
        <x:v>4817</x:v>
      </x:c>
      <x:c r="E29" s="57">
        <x:f>INDEX('KPIs Mensais Oficiais'!$A$5:$Y$999,MATCH(E19,'KPIs Mensais Oficiais'!$B$5:$B$999,0),MATCH("interacoes",'KPIs Mensais Oficiais'!$A$4:$Y$4,0))</x:f>
        <x:v>2869</x:v>
      </x:c>
      <x:c r="F29" s="57">
        <x:f>INDEX('KPIs Mensais Oficiais'!$A$5:$Y$999,MATCH(F19,'KPIs Mensais Oficiais'!$B$5:$B$999,0),MATCH("interacoes",'KPIs Mensais Oficiais'!$A$4:$Y$4,0))</x:f>
        <x:v>2484</x:v>
      </x:c>
      <x:c r="G29" s="57">
        <x:f>INDEX('KPIs Mensais Oficiais'!$A$5:$Y$999,MATCH(G19,'KPIs Mensais Oficiais'!$B$5:$B$999,0),MATCH("interacoes",'KPIs Mensais Oficiais'!$A$4:$Y$4,0))</x:f>
        <x:v>1845</x:v>
      </x:c>
      <x:c r="H29" s="57">
        <x:f>INDEX('KPIs Mensais Oficiais'!$A$5:$Y$999,MATCH(H19,'KPIs Mensais Oficiais'!$B$5:$B$999,0),MATCH("interacoes",'KPIs Mensais Oficiais'!$A$4:$Y$4,0))</x:f>
        <x:v>2822</x:v>
      </x:c>
      <x:c r="I29" s="57">
        <x:f>INDEX('KPIs Mensais Oficiais'!$A$5:$Y$999,MATCH(I19,'KPIs Mensais Oficiais'!$B$5:$B$999,0),MATCH("interacoes",'KPIs Mensais Oficiais'!$A$4:$Y$4,0))</x:f>
        <x:v>3039</x:v>
      </x:c>
    </x:row>
    <x:row r="30" s="39" customFormat="1" ht="20" customHeight="1">
      <x:c r="A30" s="44" t="inlineStr">
        <x:is>
          <x:t xml:space="preserve">% interações via posts</x:t>
        </x:is>
      </x:c>
      <x:c r="B30" s="58">
        <x:f>INDEX('KPIs Mensais Oficiais'!$A$5:$Y$999,MATCH(B19,'KPIs Mensais Oficiais'!$B$5:$B$999,0),MATCH("interacoes_posts",'KPIs Mensais Oficiais'!$A$4:$Y$4,0))</x:f>
        <x:v>0.549</x:v>
      </x:c>
      <x:c r="C30" s="58">
        <x:f>INDEX('KPIs Mensais Oficiais'!$A$5:$Y$999,MATCH(C19,'KPIs Mensais Oficiais'!$B$5:$B$999,0),MATCH("interacoes_posts",'KPIs Mensais Oficiais'!$A$4:$Y$4,0))</x:f>
        <x:v>0.725</x:v>
      </x:c>
      <x:c r="D30" s="58">
        <x:f>INDEX('KPIs Mensais Oficiais'!$A$5:$Y$999,MATCH(D19,'KPIs Mensais Oficiais'!$B$5:$B$999,0),MATCH("interacoes_posts",'KPIs Mensais Oficiais'!$A$4:$Y$4,0))</x:f>
        <x:v>0.705</x:v>
      </x:c>
      <x:c r="E30" s="58">
        <x:f>INDEX('KPIs Mensais Oficiais'!$A$5:$Y$999,MATCH(E19,'KPIs Mensais Oficiais'!$B$5:$B$999,0),MATCH("interacoes_posts",'KPIs Mensais Oficiais'!$A$4:$Y$4,0))</x:f>
        <x:v>0.595</x:v>
      </x:c>
      <x:c r="F30" s="58">
        <x:f>INDEX('KPIs Mensais Oficiais'!$A$5:$Y$999,MATCH(F19,'KPIs Mensais Oficiais'!$B$5:$B$999,0),MATCH("interacoes_posts",'KPIs Mensais Oficiais'!$A$4:$Y$4,0))</x:f>
        <x:v>0.568</x:v>
      </x:c>
      <x:c r="G30" s="58">
        <x:f>INDEX('KPIs Mensais Oficiais'!$A$5:$Y$999,MATCH(G19,'KPIs Mensais Oficiais'!$B$5:$B$999,0),MATCH("interacoes_posts",'KPIs Mensais Oficiais'!$A$4:$Y$4,0))</x:f>
        <x:v>0.838</x:v>
      </x:c>
      <x:c r="H30" s="58">
        <x:f>INDEX('KPIs Mensais Oficiais'!$A$5:$Y$999,MATCH(H19,'KPIs Mensais Oficiais'!$B$5:$B$999,0),MATCH("interacoes_posts",'KPIs Mensais Oficiais'!$A$4:$Y$4,0))</x:f>
        <x:v>0.704</x:v>
      </x:c>
      <x:c r="I30" s="58">
        <x:f>INDEX('KPIs Mensais Oficiais'!$A$5:$Y$999,MATCH(I19,'KPIs Mensais Oficiais'!$B$5:$B$999,0),MATCH("interacoes_posts",'KPIs Mensais Oficiais'!$A$4:$Y$4,0))</x:f>
        <x:v>0.685</x:v>
      </x:c>
    </x:row>
    <x:row r="31" s="39" customFormat="1" ht="20" customHeight="1">
      <x:c r="A31" s="44" t="inlineStr">
        <x:is>
          <x:t xml:space="preserve">% interações via stories</x:t>
        </x:is>
      </x:c>
      <x:c r="B31" s="58">
        <x:f>INDEX('KPIs Mensais Oficiais'!$A$5:$Y$999,MATCH(B19,'KPIs Mensais Oficiais'!$B$5:$B$999,0),MATCH("interacoes_stories",'KPIs Mensais Oficiais'!$A$4:$Y$4,0))</x:f>
        <x:v>0.41</x:v>
      </x:c>
      <x:c r="C31" s="58">
        <x:f>INDEX('KPIs Mensais Oficiais'!$A$5:$Y$999,MATCH(C19,'KPIs Mensais Oficiais'!$B$5:$B$999,0),MATCH("interacoes_stories",'KPIs Mensais Oficiais'!$A$4:$Y$4,0))</x:f>
        <x:v>0.193</x:v>
      </x:c>
      <x:c r="D31" s="58">
        <x:f>INDEX('KPIs Mensais Oficiais'!$A$5:$Y$999,MATCH(D19,'KPIs Mensais Oficiais'!$B$5:$B$999,0),MATCH("interacoes_stories",'KPIs Mensais Oficiais'!$A$4:$Y$4,0))</x:f>
        <x:v>0.219</x:v>
      </x:c>
      <x:c r="E31" s="58">
        <x:f>INDEX('KPIs Mensais Oficiais'!$A$5:$Y$999,MATCH(E19,'KPIs Mensais Oficiais'!$B$5:$B$999,0),MATCH("interacoes_stories",'KPIs Mensais Oficiais'!$A$4:$Y$4,0))</x:f>
        <x:v>0.239</x:v>
      </x:c>
      <x:c r="F31" s="58">
        <x:f>INDEX('KPIs Mensais Oficiais'!$A$5:$Y$999,MATCH(F19,'KPIs Mensais Oficiais'!$B$5:$B$999,0),MATCH("interacoes_stories",'KPIs Mensais Oficiais'!$A$4:$Y$4,0))</x:f>
        <x:v>0.155</x:v>
      </x:c>
      <x:c r="G31" s="58">
        <x:f>INDEX('KPIs Mensais Oficiais'!$A$5:$Y$999,MATCH(G19,'KPIs Mensais Oficiais'!$B$5:$B$999,0),MATCH("interacoes_stories",'KPIs Mensais Oficiais'!$A$4:$Y$4,0))</x:f>
        <x:v>0.1</x:v>
      </x:c>
      <x:c r="H31" s="58">
        <x:f>INDEX('KPIs Mensais Oficiais'!$A$5:$Y$999,MATCH(H19,'KPIs Mensais Oficiais'!$B$5:$B$999,0),MATCH("interacoes_stories",'KPIs Mensais Oficiais'!$A$4:$Y$4,0))</x:f>
        <x:v>0.203</x:v>
      </x:c>
      <x:c r="I31" s="58">
        <x:f>INDEX('KPIs Mensais Oficiais'!$A$5:$Y$999,MATCH(I19,'KPIs Mensais Oficiais'!$B$5:$B$999,0),MATCH("interacoes_stories",'KPIs Mensais Oficiais'!$A$4:$Y$4,0))</x:f>
        <x:v>0.177</x:v>
      </x:c>
    </x:row>
    <x:row r="32" s="39" customFormat="1" ht="20" customHeight="1">
      <x:c r="A32" s="44" t="inlineStr">
        <x:is>
          <x:t xml:space="preserve">% interações via reels</x:t>
        </x:is>
      </x:c>
      <x:c r="B32" s="58">
        <x:f>INDEX('KPIs Mensais Oficiais'!$A$5:$Y$999,MATCH(B19,'KPIs Mensais Oficiais'!$B$5:$B$999,0),MATCH("interacoes_reels",'KPIs Mensais Oficiais'!$A$4:$Y$4,0))</x:f>
        <x:v>0.04</x:v>
      </x:c>
      <x:c r="C32" s="58">
        <x:f>INDEX('KPIs Mensais Oficiais'!$A$5:$Y$999,MATCH(C19,'KPIs Mensais Oficiais'!$B$5:$B$999,0),MATCH("interacoes_reels",'KPIs Mensais Oficiais'!$A$4:$Y$4,0))</x:f>
        <x:v>0.079</x:v>
      </x:c>
      <x:c r="D32" s="58">
        <x:f>INDEX('KPIs Mensais Oficiais'!$A$5:$Y$999,MATCH(D19,'KPIs Mensais Oficiais'!$B$5:$B$999,0),MATCH("interacoes_reels",'KPIs Mensais Oficiais'!$A$4:$Y$4,0))</x:f>
        <x:v>0.075</x:v>
      </x:c>
      <x:c r="E32" s="58">
        <x:f>INDEX('KPIs Mensais Oficiais'!$A$5:$Y$999,MATCH(E19,'KPIs Mensais Oficiais'!$B$5:$B$999,0),MATCH("interacoes_reels",'KPIs Mensais Oficiais'!$A$4:$Y$4,0))</x:f>
        <x:v>0.166</x:v>
      </x:c>
      <x:c r="F32" s="58">
        <x:f>INDEX('KPIs Mensais Oficiais'!$A$5:$Y$999,MATCH(F19,'KPIs Mensais Oficiais'!$B$5:$B$999,0),MATCH("interacoes_reels",'KPIs Mensais Oficiais'!$A$4:$Y$4,0))</x:f>
        <x:v>0.277</x:v>
      </x:c>
      <x:c r="G32" s="58">
        <x:f>INDEX('KPIs Mensais Oficiais'!$A$5:$Y$999,MATCH(G19,'KPIs Mensais Oficiais'!$B$5:$B$999,0),MATCH("interacoes_reels",'KPIs Mensais Oficiais'!$A$4:$Y$4,0))</x:f>
        <x:v>0.062</x:v>
      </x:c>
      <x:c r="H32" s="58">
        <x:f>INDEX('KPIs Mensais Oficiais'!$A$5:$Y$999,MATCH(H19,'KPIs Mensais Oficiais'!$B$5:$B$999,0),MATCH("interacoes_reels",'KPIs Mensais Oficiais'!$A$4:$Y$4,0))</x:f>
        <x:v>0.093</x:v>
      </x:c>
      <x:c r="I32" s="58">
        <x:f>INDEX('KPIs Mensais Oficiais'!$A$5:$Y$999,MATCH(I19,'KPIs Mensais Oficiais'!$B$5:$B$999,0),MATCH("interacoes_reels",'KPIs Mensais Oficiais'!$A$4:$Y$4,0))</x:f>
        <x:v>0.137</x:v>
      </x:c>
    </x:row>
    <x:row r="34">
      <x:c r="A34" s="43" t="inlineStr">
        <x:is>
          <x:t xml:space="preserve">Indicadores parciais não usados na matriz mensal completa</x:t>
        </x:is>
      </x:c>
      <x:c r="B34" s="96" t="n"/>
      <x:c r="C34" s="97" t="n"/>
      <x:c r="E34" s="43" t="inlineStr">
        <x:is>
          <x:t xml:space="preserve">Mídia paga 2026 por mês</x:t>
        </x:is>
      </x:c>
      <x:c r="F34" s="96" t="n"/>
      <x:c r="G34" s="96" t="n"/>
      <x:c r="H34" s="96" t="n"/>
      <x:c r="I34" s="97" t="n"/>
    </x:row>
    <x:row r="35" s="39" customFormat="1" ht="28" customHeight="1">
      <x:c r="A35" s="59" t="inlineStr">
        <x:is>
          <x:t xml:space="preserve">% visualizações ads</x:t>
        </x:is>
      </x:c>
      <x:c r="B35" s="46" t="inlineStr">
        <x:is>
          <x:t xml:space="preserve">Existem células vazias no histórico oficial.</x:t>
        </x:is>
      </x:c>
      <x:c r="C35" s="46" t="inlineStr">
        <x:is>
          <x:t xml:space="preserve">A série não está completa entre ago/2025 e mar/2026.</x:t>
        </x:is>
      </x:c>
      <x:c r="E35" s="53" t="inlineStr">
        <x:is>
          <x:t xml:space="preserve">Mês</x:t>
        </x:is>
      </x:c>
      <x:c r="F35" s="53" t="inlineStr">
        <x:is>
          <x:t xml:space="preserve">Investimento</x:t>
        </x:is>
      </x:c>
      <x:c r="G35" s="53" t="inlineStr">
        <x:is>
          <x:t xml:space="preserve">Alcance</x:t>
        </x:is>
      </x:c>
      <x:c r="H35" s="53" t="inlineStr">
        <x:is>
          <x:t xml:space="preserve">Cliques</x:t>
        </x:is>
      </x:c>
      <x:c r="I35" s="53" t="inlineStr">
        <x:is>
          <x:t xml:space="preserve">CTR</x:t>
        </x:is>
      </x:c>
    </x:row>
    <x:row r="36" s="39" customFormat="1" ht="28" customHeight="1">
      <x:c r="A36" s="59" t="inlineStr">
        <x:is>
          <x:t xml:space="preserve">Interações live</x:t>
        </x:is>
      </x:c>
      <x:c r="B36" s="46" t="inlineStr">
        <x:is>
          <x:t xml:space="preserve">Existem células vazias no histórico oficial.</x:t>
        </x:is>
      </x:c>
      <x:c r="C36" s="46" t="inlineStr">
        <x:is>
          <x:t xml:space="preserve">Só aparece em alguns meses.</x:t>
        </x:is>
      </x:c>
      <x:c r="E36" s="60" t="inlineStr">
        <x:is>
          <x:t xml:space="preserve">Jan/2026</x:t>
        </x:is>
      </x:c>
      <x:c r="F36" s="61">
        <x:f>SUMIFS('Mídia Paga'!K:K,'Mídia Paga'!B:B,"&gt;="&amp;DATE(2026,1,1),'Mídia Paga'!B:B,"&lt;"&amp;DATE(2026,2,1))</x:f>
        <x:v>183.97</x:v>
      </x:c>
      <x:c r="G36" s="57">
        <x:f>SUMIFS('Mídia Paga'!G:G,'Mídia Paga'!B:B,"&gt;="&amp;DATE(2026,1,1),'Mídia Paga'!B:B,"&lt;"&amp;DATE(2026,2,1))</x:f>
        <x:v>23100</x:v>
      </x:c>
      <x:c r="H36" s="57">
        <x:f>SUMIFS('Mídia Paga'!D:D,'Mídia Paga'!B:B,"&gt;="&amp;DATE(2026,1,1),'Mídia Paga'!B:B,"&lt;"&amp;DATE(2026,2,1))</x:f>
        <x:v>1340</x:v>
      </x:c>
      <x:c r="I36" s="58">
        <x:f>IFERROR(H36/SUMIFS('Mídia Paga'!I:I,'Mídia Paga'!B:B,"&gt;="&amp;DATE(2026,1,1),'Mídia Paga'!B:B,"&lt;"&amp;DATE(2026,2,1)),0)</x:f>
        <x:v>0.03359070601851852</x:v>
      </x:c>
    </x:row>
    <x:row r="37" s="39" customFormat="1" ht="28" customHeight="1">
      <x:c r="A37" s="59" t="inlineStr">
        <x:is>
          <x:t xml:space="preserve">% interações ads</x:t>
        </x:is>
      </x:c>
      <x:c r="B37" s="46" t="inlineStr">
        <x:is>
          <x:t xml:space="preserve">Existem células vazias no histórico oficial.</x:t>
        </x:is>
      </x:c>
      <x:c r="C37" s="46" t="inlineStr">
        <x:is>
          <x:t xml:space="preserve">Sem preenchimento integral no período.</x:t>
        </x:is>
      </x:c>
      <x:c r="E37" s="60" t="inlineStr">
        <x:is>
          <x:t xml:space="preserve">Fev/2026</x:t>
        </x:is>
      </x:c>
      <x:c r="F37" s="61">
        <x:f>SUMIFS('Mídia Paga'!K:K,'Mídia Paga'!B:B,"&gt;="&amp;DATE(2026,2,1),'Mídia Paga'!B:B,"&lt;"&amp;DATE(2026,3,1))</x:f>
        <x:v>332.99</x:v>
      </x:c>
      <x:c r="G37" s="57">
        <x:f>SUMIFS('Mídia Paga'!G:G,'Mídia Paga'!B:B,"&gt;="&amp;DATE(2026,2,1),'Mídia Paga'!B:B,"&lt;"&amp;DATE(2026,3,1))</x:f>
        <x:v>40391</x:v>
      </x:c>
      <x:c r="H37" s="57">
        <x:f>SUMIFS('Mídia Paga'!D:D,'Mídia Paga'!B:B,"&gt;="&amp;DATE(2026,2,1),'Mídia Paga'!B:B,"&lt;"&amp;DATE(2026,3,1))</x:f>
        <x:v>1947</x:v>
      </x:c>
      <x:c r="I37" s="58">
        <x:f>IFERROR(H37/SUMIFS('Mídia Paga'!I:I,'Mídia Paga'!B:B,"&gt;="&amp;DATE(2026,2,1),'Mídia Paga'!B:B,"&lt;"&amp;DATE(2026,3,1)),0)</x:f>
        <x:v>0.02337195601851852</x:v>
      </x:c>
    </x:row>
    <x:row r="38" s="39" customFormat="1" ht="28" customHeight="1">
      <x:c r="A38" s="59" t="inlineStr">
        <x:is>
          <x:t xml:space="preserve">% interações não seguidores</x:t>
        </x:is>
      </x:c>
      <x:c r="B38" s="46" t="inlineStr">
        <x:is>
          <x:t xml:space="preserve">Existem células vazias no histórico oficial.</x:t>
        </x:is>
      </x:c>
      <x:c r="C38" s="46" t="inlineStr">
        <x:is>
          <x:t xml:space="preserve">Sem preenchimento integral no período.</x:t>
        </x:is>
      </x:c>
      <x:c r="E38" s="60" t="inlineStr">
        <x:is>
          <x:t xml:space="preserve">Mar/2026</x:t>
        </x:is>
      </x:c>
      <x:c r="F38" s="61">
        <x:f>SUMIFS('Mídia Paga'!K:K,'Mídia Paga'!B:B,"&gt;="&amp;DATE(2026,3,1),'Mídia Paga'!B:B,"&lt;"&amp;DATE(2026,4,1))</x:f>
        <x:v>435.79</x:v>
      </x:c>
      <x:c r="G38" s="57">
        <x:f>SUMIFS('Mídia Paga'!G:G,'Mídia Paga'!B:B,"&gt;="&amp;DATE(2026,3,1),'Mídia Paga'!B:B,"&lt;"&amp;DATE(2026,4,1))</x:f>
        <x:v>36124</x:v>
      </x:c>
      <x:c r="H38" s="57">
        <x:f>SUMIFS('Mídia Paga'!D:D,'Mídia Paga'!B:B,"&gt;="&amp;DATE(2026,3,1),'Mídia Paga'!B:B,"&lt;"&amp;DATE(2026,4,1))</x:f>
        <x:v>1360</x:v>
      </x:c>
      <x:c r="I38" s="58">
        <x:f>IFERROR(H38/SUMIFS('Mídia Paga'!I:I,'Mídia Paga'!B:B,"&gt;="&amp;DATE(2026,3,1),'Mídia Paga'!B:B,"&lt;"&amp;DATE(2026,4,1)),0)</x:f>
        <x:v>0.013221736111111111</x:v>
      </x:c>
    </x:row>
    <x:row r="39" s="39" customFormat="1" ht="28" customHeight="1">
      <x:c r="A39" s="59" t="inlineStr">
        <x:is>
          <x:t xml:space="preserve">Assessoria imprensa</x:t>
        </x:is>
      </x:c>
      <x:c r="B39" s="46" t="inlineStr">
        <x:is>
          <x:t xml:space="preserve">Existem células vazias no histórico oficial.</x:t>
        </x:is>
      </x:c>
      <x:c r="C39" s="46" t="inlineStr">
        <x:is>
          <x:t xml:space="preserve">Março/2026 ainda não foi completado.</x:t>
        </x:is>
      </x:c>
    </x:row>
    <x:row r="40" s="39" customFormat="1" ht="28" customHeight="1">
      <x:c r="A40" s="59" t="inlineStr">
        <x:is>
          <x:t xml:space="preserve">Matérias do site</x:t>
        </x:is>
      </x:c>
      <x:c r="B40" s="46" t="inlineStr">
        <x:is>
          <x:t xml:space="preserve">Existem células vazias no histórico oficial.</x:t>
        </x:is>
      </x:c>
      <x:c r="C40" s="46" t="inlineStr">
        <x:is>
          <x:t xml:space="preserve">Fevereiro e março não estão completos.</x:t>
        </x:is>
      </x:c>
      <x:c r="E40" s="62" t="inlineStr">
        <x:is>
          <x:t xml:space="preserve">YTD 2026</x:t>
        </x:is>
      </x:c>
      <x:c r="F40" s="63">
        <x:f>SUMIFS('Mídia Paga'!K:K,'Mídia Paga'!B:B,"&gt;="&amp;DATE(2026,1,1),'Mídia Paga'!B:B,"&lt;"&amp;DATE(2027,1,1))</x:f>
        <x:v>952.75</x:v>
      </x:c>
      <x:c r="G40" s="64">
        <x:f>SUMIFS('Mídia Paga'!G:G,'Mídia Paga'!B:B,"&gt;="&amp;DATE(2026,1,1),'Mídia Paga'!B:B,"&lt;"&amp;DATE(2027,1,1))</x:f>
        <x:v>99615</x:v>
      </x:c>
      <x:c r="H40" s="64">
        <x:f>SUMIFS('Mídia Paga'!D:D,'Mídia Paga'!B:B,"&gt;="&amp;DATE(2026,1,1),'Mídia Paga'!B:B,"&lt;"&amp;DATE(2027,1,1))</x:f>
        <x:v>4647</x:v>
      </x:c>
      <x:c r="I40" s="65">
        <x:f>IFERROR(H40/SUMIFS('Mídia Paga'!I:I,'Mídia Paga'!B:B,"&gt;="&amp;DATE(2026,1,1),'Mídia Paga'!B:B,"&lt;"&amp;DATE(2027,1,1)),0)</x:f>
        <x:v>0.02055667824074074</x:v>
      </x:c>
    </x:row>
    <x:row r="41" s="39" customFormat="1" ht="28" customHeight="1">
      <x:c r="A41" s="59" t="inlineStr">
        <x:is>
          <x:t xml:space="preserve">Vídeos produzidos</x:t>
        </x:is>
      </x:c>
      <x:c r="B41" s="46" t="inlineStr">
        <x:is>
          <x:t xml:space="preserve">Existem células vazias no histórico oficial.</x:t>
        </x:is>
      </x:c>
      <x:c r="C41" s="46" t="inlineStr">
        <x:is>
          <x:t xml:space="preserve">A série ainda é parcial.</x:t>
        </x:is>
      </x:c>
    </x:row>
    <x:row r="44">
      <x:c r="A44" s="43" t="inlineStr">
        <x:is>
          <x:t xml:space="preserve">Instagram 90 dias</x:t>
        </x:is>
      </x:c>
      <x:c r="B44" s="96" t="n"/>
      <x:c r="C44" s="97" t="n"/>
      <x:c r="E44" s="43" t="inlineStr">
        <x:is>
          <x:t xml:space="preserve">Top 5 conteúdos do recorte de 84 posts</x:t>
        </x:is>
      </x:c>
      <x:c r="F44" s="96" t="n"/>
      <x:c r="G44" s="96" t="n"/>
      <x:c r="H44" s="96" t="n"/>
      <x:c r="I44" s="97" t="n"/>
    </x:row>
    <x:row r="45" s="39" customFormat="1" ht="22" customHeight="1">
      <x:c r="A45" s="44" t="inlineStr">
        <x:is>
          <x:t xml:space="preserve">Contas alcançadas</x:t>
        </x:is>
      </x:c>
      <x:c r="B45" s="57">
        <x:f>INDEX('Instagram 90d Resumo'!C:C,MATCH("Contas alcançadas",'Instagram 90d Resumo'!B:B,0))</x:f>
        <x:v>211235</x:v>
      </x:c>
      <x:c r="C45" s="46" t="inlineStr">
        <x:is>
          <x:t xml:space="preserve">Export Jan 10 - Apr 9</x:t>
        </x:is>
      </x:c>
      <x:c r="E45" s="53" t="inlineStr">
        <x:is>
          <x:t xml:space="preserve">Data</x:t>
        </x:is>
      </x:c>
      <x:c r="F45" s="53" t="inlineStr">
        <x:is>
          <x:t xml:space="preserve">Formato</x:t>
        </x:is>
      </x:c>
      <x:c r="G45" s="53" t="inlineStr">
        <x:is>
          <x:t xml:space="preserve">Engajamento</x:t>
        </x:is>
      </x:c>
      <x:c r="H45" s="53" t="inlineStr">
        <x:is>
          <x:t xml:space="preserve">Likes</x:t>
        </x:is>
      </x:c>
      <x:c r="I45" s="53" t="inlineStr">
        <x:is>
          <x:t xml:space="preserve">Views</x:t>
        </x:is>
      </x:c>
    </x:row>
    <x:row r="46" s="39" customFormat="1" ht="22" customHeight="1">
      <x:c r="A46" s="44" t="inlineStr">
        <x:is>
          <x:t xml:space="preserve">Impressões</x:t>
        </x:is>
      </x:c>
      <x:c r="B46" s="57">
        <x:f>INDEX('Instagram 90d Resumo'!C:C,MATCH("Impressões",'Instagram 90d Resumo'!B:B,0))</x:f>
        <x:v>657084</x:v>
      </x:c>
      <x:c r="C46" s="46" t="inlineStr">
        <x:is>
          <x:t xml:space="preserve">Export Jan 10 - Apr 9</x:t>
        </x:is>
      </x:c>
      <x:c r="E46" s="66">
        <x:f>'Top Conteúdos 84'!A5</x:f>
        <x:v>46119</x:v>
      </x:c>
      <x:c r="F46" s="60" t="str">
        <x:f>'Top Conteúdos 84'!B5</x:f>
        <x:v>Carrossel</x:v>
      </x:c>
      <x:c r="G46" s="57">
        <x:f>'Top Conteúdos 84'!F5</x:f>
        <x:v>216</x:v>
      </x:c>
      <x:c r="H46" s="57">
        <x:f>'Top Conteúdos 84'!C5</x:f>
        <x:v>209</x:v>
      </x:c>
      <x:c r="I46" s="57">
        <x:f>'Top Conteúdos 84'!E5</x:f>
        <x:v>0</x:v>
      </x:c>
    </x:row>
    <x:row r="47" s="39" customFormat="1" ht="22" customHeight="1">
      <x:c r="A47" s="44" t="inlineStr">
        <x:is>
          <x:t xml:space="preserve">Visitas ao perfil</x:t>
        </x:is>
      </x:c>
      <x:c r="B47" s="57">
        <x:f>INDEX('Instagram 90d Resumo'!C:C,MATCH("Visitas ao perfil",'Instagram 90d Resumo'!B:B,0))</x:f>
        <x:v>8841</x:v>
      </x:c>
      <x:c r="C47" s="46" t="inlineStr">
        <x:is>
          <x:t xml:space="preserve">Export Jan 10 - Apr 9</x:t>
        </x:is>
      </x:c>
      <x:c r="E47" s="66">
        <x:f>'Top Conteúdos 84'!A6</x:f>
        <x:v>46077</x:v>
      </x:c>
      <x:c r="F47" s="60" t="str">
        <x:f>'Top Conteúdos 84'!B6</x:f>
        <x:v>Carrossel</x:v>
      </x:c>
      <x:c r="G47" s="57">
        <x:f>'Top Conteúdos 84'!F6</x:f>
        <x:v>183</x:v>
      </x:c>
      <x:c r="H47" s="57">
        <x:f>'Top Conteúdos 84'!C6</x:f>
        <x:v>150</x:v>
      </x:c>
      <x:c r="I47" s="57">
        <x:f>'Top Conteúdos 84'!E6</x:f>
        <x:v>0</x:v>
      </x:c>
    </x:row>
    <x:row r="48" s="39" customFormat="1" ht="22" customHeight="1">
      <x:c r="A48" s="44" t="inlineStr">
        <x:is>
          <x:t xml:space="preserve">Toques em links externos</x:t>
        </x:is>
      </x:c>
      <x:c r="B48" s="57">
        <x:f>INDEX('Instagram 90d Resumo'!C:C,MATCH("Toques em links externos",'Instagram 90d Resumo'!B:B,0))</x:f>
        <x:v>328</x:v>
      </x:c>
      <x:c r="C48" s="46" t="inlineStr">
        <x:is>
          <x:t xml:space="preserve">Export Jan 10 - Apr 9</x:t>
        </x:is>
      </x:c>
      <x:c r="E48" s="66">
        <x:f>'Top Conteúdos 84'!A7</x:f>
        <x:v>46081</x:v>
      </x:c>
      <x:c r="F48" s="60" t="str">
        <x:f>'Top Conteúdos 84'!B7</x:f>
        <x:v>Carrossel</x:v>
      </x:c>
      <x:c r="G48" s="57">
        <x:f>'Top Conteúdos 84'!F7</x:f>
        <x:v>162</x:v>
      </x:c>
      <x:c r="H48" s="57">
        <x:f>'Top Conteúdos 84'!C7</x:f>
        <x:v>156</x:v>
      </x:c>
      <x:c r="I48" s="57">
        <x:f>'Top Conteúdos 84'!E7</x:f>
        <x:v>0</x:v>
      </x:c>
    </x:row>
    <x:row r="49" s="39" customFormat="1" ht="22" customHeight="1">
      <x:c r="A49" s="44" t="inlineStr">
        <x:is>
          <x:t xml:space="preserve">Interações com o conteúdo</x:t>
        </x:is>
      </x:c>
      <x:c r="B49" s="57">
        <x:f>INDEX('Instagram 90d Resumo'!C:C,MATCH("Interações com o conteúdo",'Instagram 90d Resumo'!B:B,0))</x:f>
        <x:v>7988</x:v>
      </x:c>
      <x:c r="C49" s="46" t="inlineStr">
        <x:is>
          <x:t xml:space="preserve">Export Jan 10 - Apr 9</x:t>
        </x:is>
      </x:c>
      <x:c r="E49" s="66">
        <x:f>'Top Conteúdos 84'!A8</x:f>
        <x:v>46072</x:v>
      </x:c>
      <x:c r="F49" s="60" t="str">
        <x:f>'Top Conteúdos 84'!B8</x:f>
        <x:v>Carrossel</x:v>
      </x:c>
      <x:c r="G49" s="57">
        <x:f>'Top Conteúdos 84'!F8</x:f>
        <x:v>106</x:v>
      </x:c>
      <x:c r="H49" s="57">
        <x:f>'Top Conteúdos 84'!C8</x:f>
        <x:v>96</x:v>
      </x:c>
      <x:c r="I49" s="57">
        <x:f>'Top Conteúdos 84'!E8</x:f>
        <x:v>0</x:v>
      </x:c>
    </x:row>
    <x:row r="50" s="39" customFormat="1" ht="22" customHeight="1">
      <x:c r="A50" s="44" t="inlineStr">
        <x:is>
          <x:t xml:space="preserve">Contas com engajamento</x:t>
        </x:is>
      </x:c>
      <x:c r="B50" s="57">
        <x:f>INDEX('Instagram 90d Resumo'!C:C,MATCH("Contas com engajamento",'Instagram 90d Resumo'!B:B,0))</x:f>
        <x:v>2888</x:v>
      </x:c>
      <x:c r="C50" s="46" t="inlineStr">
        <x:is>
          <x:t xml:space="preserve">Export Jan 10 - Apr 9</x:t>
        </x:is>
      </x:c>
      <x:c r="E50" s="66">
        <x:f>'Top Conteúdos 84'!A9</x:f>
        <x:v>46113</x:v>
      </x:c>
      <x:c r="F50" s="60" t="str">
        <x:f>'Top Conteúdos 84'!B9</x:f>
        <x:v>Reels</x:v>
      </x:c>
      <x:c r="G50" s="57">
        <x:f>'Top Conteúdos 84'!F9</x:f>
        <x:v>90</x:v>
      </x:c>
      <x:c r="H50" s="57">
        <x:f>'Top Conteúdos 84'!C9</x:f>
        <x:v>89</x:v>
      </x:c>
      <x:c r="I50" s="57">
        <x:f>'Top Conteúdos 84'!E9</x:f>
        <x:v>1476</x:v>
      </x:c>
    </x:row>
    <x:row r="51" s="39" customFormat="1" ht="22" customHeight="1">
      <x:c r="A51" s="44" t="inlineStr">
        <x:is>
          <x:t xml:space="preserve">Seguidores ganhos</x:t>
        </x:is>
      </x:c>
      <x:c r="B51" s="57">
        <x:f>INDEX('Instagram 90d Resumo'!C:C,MATCH("Seguidores ganhos",'Instagram 90d Resumo'!B:B,0))</x:f>
        <x:v>810</x:v>
      </x:c>
      <x:c r="C51" s="46" t="inlineStr">
        <x:is>
          <x:t xml:space="preserve">Export Jan 10 - Apr 9</x:t>
        </x:is>
      </x:c>
    </x:row>
    <x:row r="52" s="39" customFormat="1" ht="32" customHeight="1">
      <x:c r="A52" s="44" t="inlineStr">
        <x:is>
          <x:t xml:space="preserve">Deixaram de seguir</x:t>
        </x:is>
      </x:c>
      <x:c r="B52" s="57">
        <x:f>INDEX('Instagram 90d Resumo'!C:C,MATCH("Deixaram de seguir",'Instagram 90d Resumo'!B:B,0))</x:f>
        <x:v>261</x:v>
      </x:c>
      <x:c r="C52" s="46" t="inlineStr">
        <x:is>
          <x:t xml:space="preserve">Export Jan 10 - Apr 9</x:t>
        </x:is>
      </x:c>
      <x:c r="E52" s="50" t="inlineStr">
        <x:is>
          <x:t xml:space="preserve">Leitura da matriz mensal: somente indicadores sem qualquer célula vazia entre agosto/2025 e março/2026 entram no painel principal.</x:t>
        </x:is>
      </x:c>
      <x:c r="F52" s="96" t="n"/>
      <x:c r="G52" s="96" t="n"/>
      <x:c r="H52" s="96" t="n"/>
      <x:c r="I52" s="97" t="n"/>
    </x:row>
    <x:row r="53" s="39" customFormat="1" ht="22" customHeight="1">
      <x:c r="A53" s="44" t="inlineStr">
        <x:is>
          <x:t xml:space="preserve">Crescimento líquido</x:t>
        </x:is>
      </x:c>
      <x:c r="B53" s="57">
        <x:f>INDEX('Instagram 90d Resumo'!C:C,MATCH("Crescimento líquido de seguidores",'Instagram 90d Resumo'!B:B,0))</x:f>
        <x:v>549</x:v>
      </x:c>
      <x:c r="C53" s="46" t="inlineStr">
        <x:is>
          <x:t xml:space="preserve">Export Jan 10 - Apr 9</x:t>
        </x:is>
      </x:c>
    </x:row>
  </x:sheetData>
  <x:mergeCells>
    <x:mergeCell ref="G10:I10"/>
    <x:mergeCell ref="G6:I6"/>
    <x:mergeCell ref="G13:I13"/>
    <x:mergeCell ref="A18:I18"/>
    <x:mergeCell ref="E52:I52"/>
    <x:mergeCell ref="G15:I15"/>
    <x:mergeCell ref="E44:I44"/>
    <x:mergeCell ref="A2:I2"/>
    <x:mergeCell ref="E4:I4"/>
    <x:mergeCell ref="G14:I14"/>
    <x:mergeCell ref="G5:I5"/>
    <x:mergeCell ref="A4:C4"/>
    <x:mergeCell ref="G16:I16"/>
    <x:mergeCell ref="E34:I34"/>
    <x:mergeCell ref="A44:C44"/>
    <x:mergeCell ref="G9:I9"/>
    <x:mergeCell ref="G12:I12"/>
    <x:mergeCell ref="A34:C34"/>
    <x:mergeCell ref="G11:I11"/>
    <x:mergeCell ref="A1:I1"/>
    <x:mergeCell ref="G8:I8"/>
    <x:mergeCell ref="G7:I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32" style="67" customWidth="1"/>
    <x:col min="3" max="3" width="20" style="67" customWidth="1"/>
    <x:col min="4" max="4" width="45" style="67" customWidth="1"/>
  </x:cols>
  <x:sheetData>
    <x:row r="1" s="39" customFormat="1" ht="39.75" customHeight="1">
      <x:c r="A1" s="68" t="inlineStr">
        <x:is>
          <x:t xml:space="preserve">Arquivos efetivamente usados ou considerados</x:t>
        </x:is>
      </x:c>
    </x:row>
    <x:row r="2" s="39" customFormat="1" ht="15" customHeight="1">
      <x:c r="A2" s="69" t="inlineStr">
        <x:is>
          <x:t xml:space="preserve">arquivo</x:t>
        </x:is>
      </x:c>
      <x:c r="B2" s="69" t="inlineStr">
        <x:is>
          <x:t xml:space="preserve">categoria</x:t>
        </x:is>
      </x:c>
      <x:c r="C2" s="69" t="inlineStr">
        <x:is>
          <x:t xml:space="preserve">status</x:t>
        </x:is>
      </x:c>
      <x:c r="D2" s="69" t="inlineStr">
        <x:is>
          <x:t xml:space="preserve">observacoes</x:t>
        </x:is>
      </x:c>
    </x:row>
    <x:row r="3" s="39" customFormat="1" ht="15" customHeight="1">
      <x:c r="A3" s="70" t="inlineStr">
        <x:is>
          <x:t xml:space="preserve">Documentos/data.csv</x:t>
        </x:is>
      </x:c>
      <x:c r="B3" s="70" t="inlineStr">
        <x:is>
          <x:t xml:space="preserve">Instagram / export consolidado</x:t>
        </x:is>
      </x:c>
      <x:c r="C3" s="71" t="inlineStr">
        <x:is>
          <x:t xml:space="preserve">Lido e consolidado</x:t>
        </x:is>
      </x:c>
      <x:c r="D3" s="70" t="inlineStr">
        <x:is>
          <x:t xml:space="preserve">Base dos 84 posts entre 26/01/2026 e 10/04/2026.</x:t>
        </x:is>
      </x:c>
    </x:row>
    <x:row r="4" s="39" customFormat="1" ht="15" customHeight="1">
      <x:c r="A4" s="70" t="inlineStr">
        <x:is>
          <x:t xml:space="preserve">Notas/(MÉTRICAS) - 2025.md</x:t>
        </x:is>
      </x:c>
      <x:c r="B4" s="70" t="inlineStr">
        <x:is>
          <x:t xml:space="preserve">Relatório mensal</x:t>
        </x:is>
      </x:c>
      <x:c r="C4" s="71" t="inlineStr">
        <x:is>
          <x:t xml:space="preserve">Lido e consolidado</x:t>
        </x:is>
      </x:c>
      <x:c r="D4" s="70" t="inlineStr">
        <x:is>
          <x:t xml:space="preserve">Base dos KPIs oficiais de 2025.</x:t>
        </x:is>
      </x:c>
    </x:row>
    <x:row r="5" s="39" customFormat="1" ht="15" customHeight="1">
      <x:c r="A5" s="70" t="inlineStr">
        <x:is>
          <x:t xml:space="preserve">Notas/(RELATÓRIO MÉTRICAS PARA DIRETORIA) - Janeiro.md</x:t>
        </x:is>
      </x:c>
      <x:c r="B5" s="70" t="inlineStr">
        <x:is>
          <x:t xml:space="preserve">Relatório narrativo</x:t>
        </x:is>
      </x:c>
      <x:c r="C5" s="72" t="inlineStr">
        <x:is>
          <x:t xml:space="preserve">Lido parcialmente</x:t>
        </x:is>
      </x:c>
      <x:c r="D5" s="70" t="inlineStr">
        <x:is>
          <x:t xml:space="preserve">Usado para contexto qualitativo; poucas métricas novas.</x:t>
        </x:is>
      </x:c>
    </x:row>
    <x:row r="6" s="39" customFormat="1" ht="15" customHeight="1">
      <x:c r="A6" s="70" t="inlineStr">
        <x:is>
          <x:t xml:space="preserve">Notas/(RELATÓRIO MÉTRICAS) - Janeiro.md</x:t>
        </x:is>
      </x:c>
      <x:c r="B6" s="70" t="inlineStr">
        <x:is>
          <x:t xml:space="preserve">Relatório mensal</x:t>
        </x:is>
      </x:c>
      <x:c r="C6" s="71" t="inlineStr">
        <x:is>
          <x:t xml:space="preserve">Lido e consolidado</x:t>
        </x:is>
      </x:c>
      <x:c r="D6" s="70" t="inlineStr">
        <x:is>
          <x:t xml:space="preserve">KPIs oficiais de janeiro/2026.</x:t>
        </x:is>
      </x:c>
    </x:row>
    <x:row r="7" s="39" customFormat="1" ht="15" customHeight="1">
      <x:c r="A7" s="70" t="inlineStr">
        <x:is>
          <x:t xml:space="preserve">Notas/(RELATÓRIO MÉTRICAS) - Fevereiro.md</x:t>
        </x:is>
      </x:c>
      <x:c r="B7" s="70" t="inlineStr">
        <x:is>
          <x:t xml:space="preserve">Relatório mensal</x:t>
        </x:is>
      </x:c>
      <x:c r="C7" s="71" t="inlineStr">
        <x:is>
          <x:t xml:space="preserve">Lido e consolidado</x:t>
        </x:is>
      </x:c>
      <x:c r="D7" s="70" t="inlineStr">
        <x:is>
          <x:t xml:space="preserve">KPIs oficiais de fevereiro/2026.</x:t>
        </x:is>
      </x:c>
    </x:row>
    <x:row r="8" s="39" customFormat="1" ht="21.649999618530273" customHeight="1">
      <x:c r="A8" s="70" t="inlineStr">
        <x:is>
          <x:t xml:space="preserve">Notas/(RELATÓRIO MÉTRICAS) - Março.md</x:t>
        </x:is>
      </x:c>
      <x:c r="B8" s="70" t="inlineStr">
        <x:is>
          <x:t xml:space="preserve">Relatório mensal</x:t>
        </x:is>
      </x:c>
      <x:c r="C8" s="71" t="inlineStr">
        <x:is>
          <x:t xml:space="preserve">Lido e consolidado</x:t>
        </x:is>
      </x:c>
      <x:c r="D8" s="70" t="inlineStr">
        <x:is>
          <x:t xml:space="preserve">Arquivo parece rascunho e repete parte das métricas de fevereiro.</x:t>
        </x:is>
      </x:c>
    </x:row>
    <x:row r="9" s="39" customFormat="1" ht="15" customHeight="1">
      <x:c r="A9" s="70" t="inlineStr">
        <x:is>
          <x:t xml:space="preserve">Notas/(DADOS RELATÓRIO MÉTRICAS) - Março.md</x:t>
        </x:is>
      </x:c>
      <x:c r="B9" s="70" t="inlineStr">
        <x:is>
          <x:t xml:space="preserve">Relatório auxiliar</x:t>
        </x:is>
      </x:c>
      <x:c r="C9" s="72" t="inlineStr">
        <x:is>
          <x:t xml:space="preserve">Lido parcialmente</x:t>
        </x:is>
      </x:c>
      <x:c r="D9" s="70" t="inlineStr">
        <x:is>
          <x:t xml:space="preserve">Apoio para validar março.</x:t>
        </x:is>
      </x:c>
    </x:row>
    <x:row r="10" s="39" customFormat="1" ht="15" customHeight="1">
      <x:c r="A10" s="70" t="inlineStr">
        <x:is>
          <x:t xml:space="preserve">Documentos/(DADOS RELATÓRIO MÉTRICAS) - Março.pdf</x:t>
        </x:is>
      </x:c>
      <x:c r="B10" s="70" t="inlineStr">
        <x:is>
          <x:t xml:space="preserve">PDF relatório</x:t>
        </x:is>
      </x:c>
      <x:c r="C10" s="72" t="inlineStr">
        <x:is>
          <x:t xml:space="preserve">Lido parcialmente</x:t>
        </x:is>
      </x:c>
      <x:c r="D10" s="70" t="inlineStr">
        <x:is>
          <x:t xml:space="preserve">Apoio para validar março.</x:t>
        </x:is>
      </x:c>
    </x:row>
    <x:row r="11" s="39" customFormat="1" ht="15" customHeight="1">
      <x:c r="A11" s="70" t="inlineStr">
        <x:is>
          <x:t xml:space="preserve">Documentos/Relatório de métrica Março parte 1 de 2.txt</x:t>
        </x:is>
      </x:c>
      <x:c r="B11" s="70" t="inlineStr">
        <x:is>
          <x:t xml:space="preserve">Texto auxiliar</x:t>
        </x:is>
      </x:c>
      <x:c r="C11" s="72" t="inlineStr">
        <x:is>
          <x:t xml:space="preserve">Lido parcialmente</x:t>
        </x:is>
      </x:c>
      <x:c r="D11" s="70" t="inlineStr">
        <x:is>
          <x:t xml:space="preserve">Apoio para validar março.</x:t>
        </x:is>
      </x:c>
    </x:row>
    <x:row r="12" s="39" customFormat="1" ht="15" customHeight="1">
      <x:c r="A12" s="70" t="inlineStr">
        <x:is>
          <x:t xml:space="preserve">Documentos/Relatório de métrica Março parte 2 de 2.txt</x:t>
        </x:is>
      </x:c>
      <x:c r="B12" s="70" t="inlineStr">
        <x:is>
          <x:t xml:space="preserve">Texto auxiliar</x:t>
        </x:is>
      </x:c>
      <x:c r="C12" s="72" t="inlineStr">
        <x:is>
          <x:t xml:space="preserve">Lido parcialmente</x:t>
        </x:is>
      </x:c>
      <x:c r="D12" s="70" t="inlineStr">
        <x:is>
          <x:t xml:space="preserve">Apoio para validar março.</x:t>
        </x:is>
      </x:c>
    </x:row>
    <x:row r="13" s="39" customFormat="1" ht="15" customHeight="1">
      <x:c r="A13" s="70" t="inlineStr">
        <x:is>
          <x:t xml:space="preserve">Documentos/RELATORIO - SETEMBRO.pdf</x:t>
        </x:is>
      </x:c>
      <x:c r="B13" s="70" t="inlineStr">
        <x:is>
          <x:t xml:space="preserve">PDF relatório</x:t>
        </x:is>
      </x:c>
      <x:c r="C13" s="71" t="inlineStr">
        <x:is>
          <x:t xml:space="preserve">Lido e consolidado</x:t>
        </x:is>
      </x:c>
      <x:c r="D13" s="70" t="inlineStr">
        <x:is>
          <x:t xml:space="preserve">Validação do mês de setembro/2025.</x:t>
        </x:is>
      </x:c>
    </x:row>
    <x:row r="14" s="39" customFormat="1" ht="21.649999618530273" customHeight="1">
      <x:c r="A14" s="70" t="inlineStr">
        <x:is>
          <x:t xml:space="preserve">Documentos/RELATÓRIO ACIRV (NOVEMBRO).pdf</x:t>
        </x:is>
      </x:c>
      <x:c r="B14" s="70" t="inlineStr">
        <x:is>
          <x:t xml:space="preserve">PDF relatório</x:t>
        </x:is>
      </x:c>
      <x:c r="C14" s="71" t="inlineStr">
        <x:is>
          <x:t xml:space="preserve">Lido e consolidado</x:t>
        </x:is>
      </x:c>
      <x:c r="D14" s="70" t="inlineStr">
        <x:is>
          <x:t xml:space="preserve">Traz divergência de seguidores versus notas; mantida observação na planilha.</x:t>
        </x:is>
      </x:c>
    </x:row>
    <x:row r="15" s="39" customFormat="1" ht="15" customHeight="1">
      <x:c r="A15" s="70" t="inlineStr">
        <x:is>
          <x:t xml:space="preserve">Documentos/Relatórios Tráfego Pago/*.pdf</x:t>
        </x:is>
      </x:c>
      <x:c r="B15" s="70" t="inlineStr">
        <x:is>
          <x:t xml:space="preserve">Meta Ads / PDFs</x:t>
        </x:is>
      </x:c>
      <x:c r="C15" s="71" t="inlineStr">
        <x:is>
          <x:t xml:space="preserve">Lido e consolidado</x:t>
        </x:is>
      </x:c>
      <x:c r="D15" s="70" t="inlineStr">
        <x:is>
          <x:t xml:space="preserve">6 relatórios consolidados em uma aba única.</x:t>
        </x:is>
      </x:c>
    </x:row>
    <x:row r="16" s="39" customFormat="1" ht="15" customHeight="1">
      <x:c r="A16" s="70" t="inlineStr">
        <x:is>
          <x:t xml:space="preserve">Instagram/past_instagram_insights/audience_insights.json</x:t>
        </x:is>
      </x:c>
      <x:c r="B16" s="70" t="inlineStr">
        <x:is>
          <x:t xml:space="preserve">Instagram insights</x:t>
        </x:is>
      </x:c>
      <x:c r="C16" s="71" t="inlineStr">
        <x:is>
          <x:t xml:space="preserve">Lido e consolidado</x:t>
        </x:is>
      </x:c>
      <x:c r="D16" s="70" t="inlineStr">
        <x:is>
          <x:t xml:space="preserve">Demografia, ganho/perda de seguidores e atividade por dia.</x:t>
        </x:is>
      </x:c>
    </x:row>
    <x:row r="17" s="39" customFormat="1" ht="15" customHeight="1">
      <x:c r="A17" s="70" t="inlineStr">
        <x:is>
          <x:t xml:space="preserve">Instagram/past_instagram_insights/content_interactions.json</x:t>
        </x:is>
      </x:c>
      <x:c r="B17" s="70" t="inlineStr">
        <x:is>
          <x:t xml:space="preserve">Instagram insights</x:t>
        </x:is>
      </x:c>
      <x:c r="C17" s="71" t="inlineStr">
        <x:is>
          <x:t xml:space="preserve">Lido e consolidado</x:t>
        </x:is>
      </x:c>
      <x:c r="D17" s="70" t="inlineStr">
        <x:is>
          <x:t xml:space="preserve">Interações por formato e contas engajadas.</x:t>
        </x:is>
      </x:c>
    </x:row>
    <x:row r="18" s="39" customFormat="1" ht="15" customHeight="1">
      <x:c r="A18" s="70" t="inlineStr">
        <x:is>
          <x:t xml:space="preserve">Instagram/past_instagram_insights/posts.json</x:t>
        </x:is>
      </x:c>
      <x:c r="B18" s="70" t="inlineStr">
        <x:is>
          <x:t xml:space="preserve">Instagram insights</x:t>
        </x:is>
      </x:c>
      <x:c r="C18" s="71" t="inlineStr">
        <x:is>
          <x:t xml:space="preserve">Lido e consolidado</x:t>
        </x:is>
      </x:c>
      <x:c r="D18" s="70" t="inlineStr">
        <x:is>
          <x:t xml:space="preserve">200 posts com métricas por conteúdo.</x:t>
        </x:is>
      </x:c>
    </x:row>
    <x:row r="19" s="39" customFormat="1" ht="15" customHeight="1">
      <x:c r="A19" s="70" t="inlineStr">
        <x:is>
          <x:t xml:space="preserve">Instagram/past_instagram_insights/profiles_reached.json</x:t>
        </x:is>
      </x:c>
      <x:c r="B19" s="70" t="inlineStr">
        <x:is>
          <x:t xml:space="preserve">Instagram insights</x:t>
        </x:is>
      </x:c>
      <x:c r="C19" s="71" t="inlineStr">
        <x:is>
          <x:t xml:space="preserve">Lido e consolidado</x:t>
        </x:is>
      </x:c>
      <x:c r="D19" s="70" t="inlineStr">
        <x:is>
          <x:t xml:space="preserve">Alcance, impressões, visitas ao perfil e cliques externos.</x:t>
        </x:is>
      </x:c>
    </x:row>
    <x:row r="20" s="39" customFormat="1" ht="15" customHeight="1">
      <x:c r="A20" s="70" t="inlineStr">
        <x:is>
          <x:t xml:space="preserve">Instagram/media/posts_1.json</x:t>
        </x:is>
      </x:c>
      <x:c r="B20" s="70" t="inlineStr">
        <x:is>
          <x:t xml:space="preserve">Instagram export</x:t>
        </x:is>
      </x:c>
      <x:c r="C20" s="71" t="inlineStr">
        <x:is>
          <x:t xml:space="preserve">Lido e consolidado</x:t>
        </x:is>
      </x:c>
      <x:c r="D20" s="70" t="inlineStr">
        <x:is>
          <x:t xml:space="preserve">Volume mensal de posts publicados.</x:t>
        </x:is>
      </x:c>
    </x:row>
    <x:row r="21" s="39" customFormat="1" ht="15" customHeight="1">
      <x:c r="A21" s="70" t="inlineStr">
        <x:is>
          <x:t xml:space="preserve">Instagram/media/reels.json</x:t>
        </x:is>
      </x:c>
      <x:c r="B21" s="70" t="inlineStr">
        <x:is>
          <x:t xml:space="preserve">Instagram export</x:t>
        </x:is>
      </x:c>
      <x:c r="C21" s="71" t="inlineStr">
        <x:is>
          <x:t xml:space="preserve">Lido e consolidado</x:t>
        </x:is>
      </x:c>
      <x:c r="D21" s="70" t="inlineStr">
        <x:is>
          <x:t xml:space="preserve">Volume mensal de reels publicados.</x:t>
        </x:is>
      </x:c>
    </x:row>
    <x:row r="22" s="39" customFormat="1" ht="15" customHeight="1">
      <x:c r="A22" s="70" t="inlineStr">
        <x:is>
          <x:t xml:space="preserve">Instagram/media/stories.json</x:t>
        </x:is>
      </x:c>
      <x:c r="B22" s="70" t="inlineStr">
        <x:is>
          <x:t xml:space="preserve">Instagram export</x:t>
        </x:is>
      </x:c>
      <x:c r="C22" s="71" t="inlineStr">
        <x:is>
          <x:t xml:space="preserve">Lido e consolidado</x:t>
        </x:is>
      </x:c>
      <x:c r="D22" s="70" t="inlineStr">
        <x:is>
          <x:t xml:space="preserve">Volume mensal de stories publicados.</x:t>
        </x:is>
      </x:c>
    </x:row>
    <x:row r="23" s="39" customFormat="1" ht="21.649999618530273" customHeight="1">
      <x:c r="A23" s="70" t="inlineStr">
        <x:is>
          <x:t xml:space="preserve">Instagram/connections/followers_and_following/followers_1.json</x:t>
        </x:is>
      </x:c>
      <x:c r="B23" s="70" t="inlineStr">
        <x:is>
          <x:t xml:space="preserve">Instagram export</x:t>
        </x:is>
      </x:c>
      <x:c r="C23" s="71" t="inlineStr">
        <x:is>
          <x:t xml:space="preserve">Lido e consolidado</x:t>
        </x:is>
      </x:c>
      <x:c r="D23" s="70" t="inlineStr">
        <x:is>
          <x:t xml:space="preserve">Histórico diário de novos seguidores.</x:t>
        </x:is>
      </x:c>
    </x:row>
    <x:row r="24" s="39" customFormat="1" ht="31.899999618530273" customHeight="1">
      <x:c r="A24" s="70" t="inlineStr">
        <x:is>
          <x:t xml:space="preserve">Documentos/Planejamento_Estratégico_ACIRV_2026_Conectar_e_Crescer.pptx.pdf</x:t>
        </x:is>
      </x:c>
      <x:c r="B24" s="70" t="inlineStr">
        <x:is>
          <x:t xml:space="preserve">Planejamento estratégico</x:t>
        </x:is>
      </x:c>
      <x:c r="C24" s="71" t="inlineStr">
        <x:is>
          <x:t xml:space="preserve">Lido e consolidado</x:t>
        </x:is>
      </x:c>
      <x:c r="D24" s="70" t="inlineStr">
        <x:is>
          <x:t xml:space="preserve">Fonte das metas estratégicas 2026.</x:t>
        </x:is>
      </x:c>
    </x:row>
    <x:row r="25" s="39" customFormat="1" ht="15" customHeight="1">
      <x:c r="A25" s="70" t="inlineStr">
        <x:is>
          <x:t xml:space="preserve">Documentos/ACIRV_stakeholders_apresentacao.pdf</x:t>
        </x:is>
      </x:c>
      <x:c r="B25" s="70" t="inlineStr">
        <x:is>
          <x:t xml:space="preserve">Apresentação diagnóstico</x:t>
        </x:is>
      </x:c>
      <x:c r="C25" s="71" t="inlineStr">
        <x:is>
          <x:t xml:space="preserve">Lido e consolidado</x:t>
        </x:is>
      </x:c>
      <x:c r="D25" s="70" t="inlineStr">
        <x:is>
          <x:t xml:space="preserve">Usado para validar o diagnóstico dos 84 posts.</x:t>
        </x:is>
      </x:c>
    </x:row>
    <x:row r="26" s="39" customFormat="1" ht="15" customHeight="1">
      <x:c r="A26" s="70" t="inlineStr">
        <x:is>
          <x:t xml:space="preserve">Notas/Lista de associados em JSON.md</x:t>
        </x:is>
      </x:c>
      <x:c r="B26" s="70" t="inlineStr">
        <x:is>
          <x:t xml:space="preserve">Base de associados</x:t>
        </x:is>
      </x:c>
      <x:c r="C26" s="71" t="inlineStr">
        <x:is>
          <x:t xml:space="preserve">Lido e consolidado</x:t>
        </x:is>
      </x:c>
      <x:c r="D26" s="70" t="inlineStr">
        <x:is>
          <x:t xml:space="preserve">527 associados com categoria, classificação e segmento.</x:t>
        </x:is>
      </x:c>
    </x:row>
    <x:row r="27" s="39" customFormat="1" ht="21.649999618530273" customHeight="1">
      <x:c r="A27" s="70" t="inlineStr">
        <x:is>
          <x:t xml:space="preserve">Notas/Lista Presença 5º Edição CNPJ - Conecta Acirv - Mesa Networking.md</x:t>
        </x:is>
      </x:c>
      <x:c r="B27" s="70" t="inlineStr">
        <x:is>
          <x:t xml:space="preserve">Evento / presença</x:t>
        </x:is>
      </x:c>
      <x:c r="C27" s="71" t="inlineStr">
        <x:is>
          <x:t xml:space="preserve">Lido e consolidado</x:t>
        </x:is>
      </x:c>
      <x:c r="D27" s="70" t="inlineStr">
        <x:is>
          <x:t xml:space="preserve">60 registros de presença parseados da tabela markdown.</x:t>
        </x:is>
      </x:c>
    </x:row>
    <x:row r="28" s="39" customFormat="1" ht="15" customHeight="1">
      <x:c r="A28" s="70" t="inlineStr">
        <x:is>
          <x:t xml:space="preserve">Notas/Números sobre o Conecta.md</x:t>
        </x:is>
      </x:c>
      <x:c r="B28" s="70" t="inlineStr">
        <x:is>
          <x:t xml:space="preserve">Evento / histórico</x:t>
        </x:is>
      </x:c>
      <x:c r="C28" s="71" t="inlineStr">
        <x:is>
          <x:t xml:space="preserve">Lido e consolidado</x:t>
        </x:is>
      </x:c>
      <x:c r="D28" s="70" t="inlineStr">
        <x:is>
          <x:t xml:space="preserve">Negócios gerados e participação acumulada.</x:t>
        </x:is>
      </x:c>
    </x:row>
    <x:row r="29" s="39" customFormat="1" ht="15" customHeight="1">
      <x:c r="A29" s="70" t="inlineStr">
        <x:is>
          <x:t xml:space="preserve">Notas/Dados sobre o Conecta Saúde.md</x:t>
        </x:is>
      </x:c>
      <x:c r="B29" s="70" t="inlineStr">
        <x:is>
          <x:t xml:space="preserve">Evento / pós-evento</x:t>
        </x:is>
      </x:c>
      <x:c r="C29" s="71" t="inlineStr">
        <x:is>
          <x:t xml:space="preserve">Lido e consolidado</x:t>
        </x:is>
      </x:c>
      <x:c r="D29" s="70" t="inlineStr">
        <x:is>
          <x:t xml:space="preserve">Capacidade máxima e presentes do evento.</x:t>
        </x:is>
      </x:c>
    </x:row>
    <x:row r="30" s="39" customFormat="1" ht="15" customHeight="1">
      <x:c r="A30" s="70" t="inlineStr">
        <x:is>
          <x:t xml:space="preserve">Notas/Dados sobre o Fórum.md</x:t>
        </x:is>
      </x:c>
      <x:c r="B30" s="70" t="inlineStr">
        <x:is>
          <x:t xml:space="preserve">Evento / pós-evento</x:t>
        </x:is>
      </x:c>
      <x:c r="C30" s="72" t="inlineStr">
        <x:is>
          <x:t xml:space="preserve">Lido parcialmente</x:t>
        </x:is>
      </x:c>
      <x:c r="D30" s="70" t="inlineStr">
        <x:is>
          <x:t xml:space="preserve">Traz contexto do fórum, mas sem headcount consolidado.</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8" style="39" customWidth="1"/>
    <x:col min="2" max="2" width="46" style="39" customWidth="1"/>
    <x:col min="3" max="3" width="30" style="39" customWidth="1"/>
  </x:cols>
  <x:sheetData>
    <x:row r="1" s="39" customFormat="1" ht="23" customHeight="1">
      <x:c r="A1" s="40" t="inlineStr">
        <x:is>
          <x:t xml:space="preserve">Como usar estas abas no Google Sheets / dashboard</x:t>
        </x:is>
      </x:c>
    </x:row>
    <x:row r="2" s="39" customFormat="1" ht="18" customHeight="1">
      <x:c r="A2" s="41" t="inlineStr">
        <x:is>
          <x:t xml:space="preserve">Estrutura atualizada após a revisão das fórmulas, novas colunas dos KPIs mensais oficiais e remoção das abas antigas.</x:t>
        </x:is>
      </x:c>
    </x:row>
    <x:row r="4">
      <x:c r="A4" s="42" t="inlineStr">
        <x:is>
          <x:t xml:space="preserve">aba_sugerida</x:t>
        </x:is>
      </x:c>
      <x:c r="B4" s="42" t="inlineStr">
        <x:is>
          <x:t xml:space="preserve">objetivo</x:t>
        </x:is>
      </x:c>
      <x:c r="C4" s="42" t="inlineStr">
        <x:is>
          <x:t xml:space="preserve">fonte_principal</x:t>
        </x:is>
      </x:c>
    </x:row>
    <x:row r="5" s="39" customFormat="1" ht="24" customHeight="1">
      <x:c r="A5" s="73" t="inlineStr">
        <x:is>
          <x:t xml:space="preserve">Resumo Executivo</x:t>
        </x:is>
      </x:c>
      <x:c r="B5" s="73" t="inlineStr">
        <x:is>
          <x:t xml:space="preserve">Cards/KPIs do topo com fórmulas dinâmicas e métricas-chave completas.</x:t>
        </x:is>
      </x:c>
      <x:c r="C5" s="73" t="inlineStr">
        <x:is>
          <x:t xml:space="preserve">Fórmulas puxando das outras abas</x:t>
        </x:is>
      </x:c>
    </x:row>
    <x:row r="6" s="39" customFormat="1" ht="24" customHeight="1">
      <x:c r="A6" s="73" t="inlineStr">
        <x:is>
          <x:t xml:space="preserve">Visao Geral</x:t>
        </x:is>
      </x:c>
      <x:c r="B6" s="73" t="inlineStr">
        <x:is>
          <x:t xml:space="preserve">Panorama amplo da base com matriz mensal completa, mídia paga, Instagram 90d e top conteúdos.</x:t>
        </x:is>
      </x:c>
      <x:c r="C6" s="73" t="inlineStr">
        <x:is>
          <x:t xml:space="preserve">Fórmulas puxando das outras abas</x:t>
        </x:is>
      </x:c>
    </x:row>
    <x:row r="7" s="39" customFormat="1" ht="24" customHeight="1">
      <x:c r="A7" s="73" t="inlineStr">
        <x:is>
          <x:t xml:space="preserve">KPIs Mensais Oficiais</x:t>
        </x:is>
      </x:c>
      <x:c r="B7" s="73" t="inlineStr">
        <x:is>
          <x:t xml:space="preserve">Série histórica mensal oficial consolidada.</x:t>
        </x:is>
      </x:c>
      <x:c r="C7" s="73" t="inlineStr">
        <x:is>
          <x:t xml:space="preserve">Relatórios mensais, PDFs e notas</x:t>
        </x:is>
      </x:c>
    </x:row>
    <x:row r="8" s="39" customFormat="1" ht="24" customHeight="1">
      <x:c r="A8" s="73" t="inlineStr">
        <x:is>
          <x:t xml:space="preserve">Mídia Paga</x:t>
        </x:is>
      </x:c>
      <x:c r="B8" s="73" t="inlineStr">
        <x:is>
          <x:t xml:space="preserve">Painel de Meta Ads por período.</x:t>
        </x:is>
      </x:c>
      <x:c r="C8" s="73" t="inlineStr">
        <x:is>
          <x:t xml:space="preserve">Relatórios Tráfego Pago</x:t>
        </x:is>
      </x:c>
    </x:row>
    <x:row r="9" s="39" customFormat="1" ht="24" customHeight="1">
      <x:c r="A9" s="73" t="inlineStr">
        <x:is>
          <x:t xml:space="preserve">Instagram 90d Resumo</x:t>
        </x:is>
      </x:c>
      <x:c r="B9" s="73" t="inlineStr">
        <x:is>
          <x:t xml:space="preserve">Resumo do export de 90 dias.</x:t>
        </x:is>
      </x:c>
      <x:c r="C9" s="73" t="inlineStr">
        <x:is>
          <x:t xml:space="preserve">Insights brutos do Instagram</x:t>
        </x:is>
      </x:c>
    </x:row>
    <x:row r="10" s="39" customFormat="1" ht="24" customHeight="1">
      <x:c r="A10" s="73" t="inlineStr">
        <x:is>
          <x:t xml:space="preserve">Instagram Atividade Mensal</x:t>
        </x:is>
      </x:c>
      <x:c r="B10" s="73" t="inlineStr">
        <x:is>
          <x:t xml:space="preserve">Volume de posts, reels, stories e novos seguidores.</x:t>
        </x:is>
      </x:c>
      <x:c r="C10" s="73" t="inlineStr">
        <x:is>
          <x:t xml:space="preserve">Exports brutos do Instagram</x:t>
        </x:is>
      </x:c>
    </x:row>
    <x:row r="11" s="39" customFormat="1" ht="24" customHeight="1">
      <x:c r="A11" s="73" t="inlineStr">
        <x:is>
          <x:t xml:space="preserve">Top Conteúdos 84</x:t>
        </x:is>
      </x:c>
      <x:c r="B11" s="73" t="inlineStr">
        <x:is>
          <x:t xml:space="preserve">Bloco de melhores conteúdos do recorte.</x:t>
        </x:is>
      </x:c>
      <x:c r="C11" s="73" t="inlineStr">
        <x:is>
          <x:t xml:space="preserve">data.csv</x:t>
        </x:is>
      </x:c>
    </x:row>
    <x:row r="12" s="39" customFormat="1" ht="24" customHeight="1">
      <x:c r="A12" s="73" t="inlineStr">
        <x:is>
          <x:t xml:space="preserve">Diagnóstico 84 Posts</x:t>
        </x:is>
      </x:c>
      <x:c r="B12" s="73" t="inlineStr">
        <x:is>
          <x:t xml:space="preserve">Métricas agregadas do recorte de 84 posts.</x:t>
        </x:is>
      </x:c>
      <x:c r="C12" s="73" t="inlineStr">
        <x:is>
          <x:t xml:space="preserve">Instagram 84 Posts</x:t>
        </x:is>
      </x:c>
    </x:row>
    <x:row r="13" s="39" customFormat="1" ht="24" customHeight="1">
      <x:c r="A13" s="73" t="inlineStr">
        <x:is>
          <x:t xml:space="preserve">Conecta 5 Presença</x:t>
        </x:is>
      </x:c>
      <x:c r="B13" s="73" t="inlineStr">
        <x:is>
          <x:t xml:space="preserve">Presença do evento para futuras análises de networking.</x:t>
        </x:is>
      </x:c>
      <x:c r="C13" s="73" t="inlineStr">
        <x:is>
          <x:t xml:space="preserve">Tabela parseada do markdown</x:t>
        </x:is>
      </x:c>
    </x:row>
    <x:row r="14" s="39" customFormat="1" ht="24" customHeight="1">
      <x:c r="A14" s="73" t="inlineStr">
        <x:is>
          <x:t xml:space="preserve">Metas 2026</x:t>
        </x:is>
      </x:c>
      <x:c r="B14" s="73" t="inlineStr">
        <x:is>
          <x:t xml:space="preserve">Metas estratégicas úteis para cruzar com dashboard.</x:t>
        </x:is>
      </x:c>
      <x:c r="C14" s="73" t="inlineStr">
        <x:is>
          <x:t xml:space="preserve">Planejamento estratégico 2026</x:t>
        </x:is>
      </x:c>
    </x:row>
    <x:row r="15" s="39" customFormat="1" ht="24" customHeight="1">
      <x:c r="A15" s="73" t="inlineStr">
        <x:is>
          <x:t xml:space="preserve">Fontes Lidas</x:t>
        </x:is>
      </x:c>
      <x:c r="B15" s="73" t="inlineStr">
        <x:is>
          <x:t xml:space="preserve">Rastreabilidade do que entrou na base.</x:t>
        </x:is>
      </x:c>
      <x:c r="C15" s="73" t="inlineStr">
        <x:is>
          <x:t xml:space="preserve">Leitura e consolidação documental</x:t>
        </x:is>
      </x:c>
    </x:row>
  </x:sheetData>
  <x:mergeCells>
    <x:mergeCell ref="A1:C1"/>
    <x:mergeCell ref="A2:C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32" style="67" customWidth="1"/>
    <x:col min="3" max="3" width="23" style="67" customWidth="1"/>
    <x:col min="4" max="4" width="20" style="67" customWidth="1"/>
    <x:col min="5" max="5" width="45" style="67" customWidth="1"/>
  </x:cols>
  <x:sheetData>
    <x:row r="1" s="39" customFormat="1" ht="20.450000762939453" customHeight="1">
      <x:c r="A1" s="68" t="inlineStr">
        <x:is>
          <x:t xml:space="preserve">Fontes Lidas</x:t>
        </x:is>
      </x:c>
    </x:row>
    <x:row r="2" s="39" customFormat="1" ht="15" customHeight="1">
      <x:c r="A2" s="74" t="inlineStr">
        <x:is>
          <x:t xml:space="preserve">Rastreabilidade do que foi lido, usado ou descartado.</x:t>
        </x:is>
      </x:c>
    </x:row>
    <x:row r="4" s="39" customFormat="1" ht="15" customHeight="1">
      <x:c r="A4" s="69" t="inlineStr">
        <x:is>
          <x:t xml:space="preserve">arquivo</x:t>
        </x:is>
      </x:c>
      <x:c r="B4" s="69" t="inlineStr">
        <x:is>
          <x:t xml:space="preserve">categoria</x:t>
        </x:is>
      </x:c>
      <x:c r="C4" s="69" t="inlineStr">
        <x:is>
          <x:t xml:space="preserve">status</x:t>
        </x:is>
      </x:c>
      <x:c r="D4" s="69" t="inlineStr">
        <x:is>
          <x:t xml:space="preserve">usado_no_dashboard</x:t>
        </x:is>
      </x:c>
      <x:c r="E4" s="69" t="inlineStr">
        <x:is>
          <x:t xml:space="preserve">observacoes</x:t>
        </x:is>
      </x:c>
    </x:row>
    <x:row r="5" s="39" customFormat="1" ht="15" customHeight="1">
      <x:c r="A5" s="70" t="inlineStr">
        <x:is>
          <x:t xml:space="preserve">Documentos/Dados de evolução da ACIRV de .ods</x:t>
        </x:is>
      </x:c>
      <x:c r="B5" s="70" t="inlineStr">
        <x:is>
          <x:t xml:space="preserve">Documento</x:t>
        </x:is>
      </x:c>
      <x:c r="C5" s="75" t="inlineStr">
        <x:is>
          <x:t xml:space="preserve">Não utilizável</x:t>
        </x:is>
      </x:c>
      <x:c r="D5" s="70" t="inlineStr">
        <x:is>
          <x:t xml:space="preserve">Não</x:t>
        </x:is>
      </x:c>
      <x:c r="E5" s="70" t="inlineStr">
        <x:is>
          <x:t xml:space="preserve">Arquivo vazio (0 bytes).</x:t>
        </x:is>
      </x:c>
    </x:row>
    <x:row r="6" s="39" customFormat="1" ht="15" customHeight="1">
      <x:c r="A6" s="70" t="inlineStr">
        <x:is>
          <x:t xml:space="preserve">Documentos/data.csv</x:t>
        </x:is>
      </x:c>
      <x:c r="B6" s="70" t="inlineStr">
        <x:is>
          <x:t xml:space="preserve">Instagram / export consolidado</x:t>
        </x:is>
      </x:c>
      <x:c r="C6" s="71" t="inlineStr">
        <x:is>
          <x:t xml:space="preserve">Lido e consolidado</x:t>
        </x:is>
      </x:c>
      <x:c r="D6" s="70" t="inlineStr">
        <x:is>
          <x:t xml:space="preserve">Sim</x:t>
        </x:is>
      </x:c>
      <x:c r="E6" s="70" t="inlineStr">
        <x:is>
          <x:t xml:space="preserve">Base dos 84 posts entre 26/01/2026 e 10/04/2026.</x:t>
        </x:is>
      </x:c>
    </x:row>
    <x:row r="7" s="39" customFormat="1" ht="15" customHeight="1">
      <x:c r="A7" s="70" t="inlineStr">
        <x:is>
          <x:t xml:space="preserve">Notas/(MÉTRICAS) - 2025.md</x:t>
        </x:is>
      </x:c>
      <x:c r="B7" s="70" t="inlineStr">
        <x:is>
          <x:t xml:space="preserve">Relatório mensal</x:t>
        </x:is>
      </x:c>
      <x:c r="C7" s="71" t="inlineStr">
        <x:is>
          <x:t xml:space="preserve">Lido e consolidado</x:t>
        </x:is>
      </x:c>
      <x:c r="D7" s="70" t="inlineStr">
        <x:is>
          <x:t xml:space="preserve">Sim</x:t>
        </x:is>
      </x:c>
      <x:c r="E7" s="70" t="inlineStr">
        <x:is>
          <x:t xml:space="preserve">Base dos KPIs oficiais de 2025.</x:t>
        </x:is>
      </x:c>
    </x:row>
    <x:row r="8" s="39" customFormat="1" ht="15" customHeight="1">
      <x:c r="A8" s="70" t="inlineStr">
        <x:is>
          <x:t xml:space="preserve">Notas/(RELATÓRIO MÉTRICAS PARA DIRETORIA) - Janeiro.md</x:t>
        </x:is>
      </x:c>
      <x:c r="B8" s="70" t="inlineStr">
        <x:is>
          <x:t xml:space="preserve">Relatório narrativo</x:t>
        </x:is>
      </x:c>
      <x:c r="C8" s="72" t="inlineStr">
        <x:is>
          <x:t xml:space="preserve">Lido parcialmente</x:t>
        </x:is>
      </x:c>
      <x:c r="D8" s="70" t="inlineStr">
        <x:is>
          <x:t xml:space="preserve">Parcial</x:t>
        </x:is>
      </x:c>
      <x:c r="E8" s="70" t="inlineStr">
        <x:is>
          <x:t xml:space="preserve">Usado para contexto qualitativo; poucas métricas novas.</x:t>
        </x:is>
      </x:c>
    </x:row>
    <x:row r="9" s="39" customFormat="1" ht="15" customHeight="1">
      <x:c r="A9" s="70" t="inlineStr">
        <x:is>
          <x:t xml:space="preserve">Notas/(RELATÓRIO MÉTRICAS) - Janeiro.md</x:t>
        </x:is>
      </x:c>
      <x:c r="B9" s="70" t="inlineStr">
        <x:is>
          <x:t xml:space="preserve">Relatório mensal</x:t>
        </x:is>
      </x:c>
      <x:c r="C9" s="71" t="inlineStr">
        <x:is>
          <x:t xml:space="preserve">Lido e consolidado</x:t>
        </x:is>
      </x:c>
      <x:c r="D9" s="70" t="inlineStr">
        <x:is>
          <x:t xml:space="preserve">Sim</x:t>
        </x:is>
      </x:c>
      <x:c r="E9" s="70" t="inlineStr">
        <x:is>
          <x:t xml:space="preserve">KPIs oficiais de janeiro/2026.</x:t>
        </x:is>
      </x:c>
    </x:row>
    <x:row r="10" s="39" customFormat="1" ht="15" customHeight="1">
      <x:c r="A10" s="70" t="inlineStr">
        <x:is>
          <x:t xml:space="preserve">Notas/(RELATÓRIO MÉTRICAS) - Fevereiro.md</x:t>
        </x:is>
      </x:c>
      <x:c r="B10" s="70" t="inlineStr">
        <x:is>
          <x:t xml:space="preserve">Relatório mensal</x:t>
        </x:is>
      </x:c>
      <x:c r="C10" s="71" t="inlineStr">
        <x:is>
          <x:t xml:space="preserve">Lido e consolidado</x:t>
        </x:is>
      </x:c>
      <x:c r="D10" s="70" t="inlineStr">
        <x:is>
          <x:t xml:space="preserve">Sim</x:t>
        </x:is>
      </x:c>
      <x:c r="E10" s="70" t="inlineStr">
        <x:is>
          <x:t xml:space="preserve">KPIs oficiais de fevereiro/2026.</x:t>
        </x:is>
      </x:c>
    </x:row>
    <x:row r="11" s="39" customFormat="1" ht="21.649999618530273" customHeight="1">
      <x:c r="A11" s="70" t="inlineStr">
        <x:is>
          <x:t xml:space="preserve">Notas/(RELATÓRIO MÉTRICAS) - Março.md</x:t>
        </x:is>
      </x:c>
      <x:c r="B11" s="70" t="inlineStr">
        <x:is>
          <x:t xml:space="preserve">Relatório mensal</x:t>
        </x:is>
      </x:c>
      <x:c r="C11" s="71" t="inlineStr">
        <x:is>
          <x:t xml:space="preserve">Lido e consolidado</x:t>
        </x:is>
      </x:c>
      <x:c r="D11" s="70" t="inlineStr">
        <x:is>
          <x:t xml:space="preserve">Sim, com ressalvas</x:t>
        </x:is>
      </x:c>
      <x:c r="E11" s="70" t="inlineStr">
        <x:is>
          <x:t xml:space="preserve">Arquivo parece rascunho e repete parte das métricas de fevereiro.</x:t>
        </x:is>
      </x:c>
    </x:row>
    <x:row r="12" s="39" customFormat="1" ht="15" customHeight="1">
      <x:c r="A12" s="70" t="inlineStr">
        <x:is>
          <x:t xml:space="preserve">Notas/(DADOS RELATÓRIO MÉTRICAS) - Março.md</x:t>
        </x:is>
      </x:c>
      <x:c r="B12" s="70" t="inlineStr">
        <x:is>
          <x:t xml:space="preserve">Relatório auxiliar</x:t>
        </x:is>
      </x:c>
      <x:c r="C12" s="72" t="inlineStr">
        <x:is>
          <x:t xml:space="preserve">Lido parcialmente</x:t>
        </x:is>
      </x:c>
      <x:c r="D12" s="70" t="inlineStr">
        <x:is>
          <x:t xml:space="preserve">Parcial</x:t>
        </x:is>
      </x:c>
      <x:c r="E12" s="70" t="inlineStr">
        <x:is>
          <x:t xml:space="preserve">Apoio para validar março.</x:t>
        </x:is>
      </x:c>
    </x:row>
    <x:row r="13" s="39" customFormat="1" ht="15" customHeight="1">
      <x:c r="A13" s="70" t="inlineStr">
        <x:is>
          <x:t xml:space="preserve">Documentos/(DADOS RELATÓRIO MÉTRICAS) - Março.pdf</x:t>
        </x:is>
      </x:c>
      <x:c r="B13" s="70" t="inlineStr">
        <x:is>
          <x:t xml:space="preserve">PDF relatório</x:t>
        </x:is>
      </x:c>
      <x:c r="C13" s="72" t="inlineStr">
        <x:is>
          <x:t xml:space="preserve">Lido parcialmente</x:t>
        </x:is>
      </x:c>
      <x:c r="D13" s="70" t="inlineStr">
        <x:is>
          <x:t xml:space="preserve">Parcial</x:t>
        </x:is>
      </x:c>
      <x:c r="E13" s="70" t="inlineStr">
        <x:is>
          <x:t xml:space="preserve">Apoio para validar março.</x:t>
        </x:is>
      </x:c>
    </x:row>
    <x:row r="14" s="39" customFormat="1" ht="15" customHeight="1">
      <x:c r="A14" s="70" t="inlineStr">
        <x:is>
          <x:t xml:space="preserve">Documentos/Relatório de métrica Março parte 1 de 2.txt</x:t>
        </x:is>
      </x:c>
      <x:c r="B14" s="70" t="inlineStr">
        <x:is>
          <x:t xml:space="preserve">Texto auxiliar</x:t>
        </x:is>
      </x:c>
      <x:c r="C14" s="72" t="inlineStr">
        <x:is>
          <x:t xml:space="preserve">Lido parcialmente</x:t>
        </x:is>
      </x:c>
      <x:c r="D14" s="70" t="inlineStr">
        <x:is>
          <x:t xml:space="preserve">Parcial</x:t>
        </x:is>
      </x:c>
      <x:c r="E14" s="70" t="inlineStr">
        <x:is>
          <x:t xml:space="preserve">Apoio para validar março.</x:t>
        </x:is>
      </x:c>
    </x:row>
    <x:row r="15" s="39" customFormat="1" ht="15" customHeight="1">
      <x:c r="A15" s="70" t="inlineStr">
        <x:is>
          <x:t xml:space="preserve">Documentos/Relatório de métrica Março parte 2 de 2.txt</x:t>
        </x:is>
      </x:c>
      <x:c r="B15" s="70" t="inlineStr">
        <x:is>
          <x:t xml:space="preserve">Texto auxiliar</x:t>
        </x:is>
      </x:c>
      <x:c r="C15" s="72" t="inlineStr">
        <x:is>
          <x:t xml:space="preserve">Lido parcialmente</x:t>
        </x:is>
      </x:c>
      <x:c r="D15" s="70" t="inlineStr">
        <x:is>
          <x:t xml:space="preserve">Parcial</x:t>
        </x:is>
      </x:c>
      <x:c r="E15" s="70" t="inlineStr">
        <x:is>
          <x:t xml:space="preserve">Apoio para validar março.</x:t>
        </x:is>
      </x:c>
    </x:row>
    <x:row r="16" s="39" customFormat="1" ht="15" customHeight="1">
      <x:c r="A16" s="70" t="inlineStr">
        <x:is>
          <x:t xml:space="preserve">Documentos/RELATORIO - SETEMBRO.pdf</x:t>
        </x:is>
      </x:c>
      <x:c r="B16" s="70" t="inlineStr">
        <x:is>
          <x:t xml:space="preserve">PDF relatório</x:t>
        </x:is>
      </x:c>
      <x:c r="C16" s="71" t="inlineStr">
        <x:is>
          <x:t xml:space="preserve">Lido e consolidado</x:t>
        </x:is>
      </x:c>
      <x:c r="D16" s="70" t="inlineStr">
        <x:is>
          <x:t xml:space="preserve">Sim</x:t>
        </x:is>
      </x:c>
      <x:c r="E16" s="70" t="inlineStr">
        <x:is>
          <x:t xml:space="preserve">Validação do mês de setembro/2025.</x:t>
        </x:is>
      </x:c>
    </x:row>
    <x:row r="17" s="39" customFormat="1" ht="21.649999618530273" customHeight="1">
      <x:c r="A17" s="70" t="inlineStr">
        <x:is>
          <x:t xml:space="preserve">Documentos/RELATÓRIO ACIRV (NOVEMBRO).pdf</x:t>
        </x:is>
      </x:c>
      <x:c r="B17" s="70" t="inlineStr">
        <x:is>
          <x:t xml:space="preserve">PDF relatório</x:t>
        </x:is>
      </x:c>
      <x:c r="C17" s="71" t="inlineStr">
        <x:is>
          <x:t xml:space="preserve">Lido e consolidado</x:t>
        </x:is>
      </x:c>
      <x:c r="D17" s="70" t="inlineStr">
        <x:is>
          <x:t xml:space="preserve">Sim, com ressalvas</x:t>
        </x:is>
      </x:c>
      <x:c r="E17" s="70" t="inlineStr">
        <x:is>
          <x:t xml:space="preserve">Traz divergência de seguidores versus notas; mantida observação na planilha.</x:t>
        </x:is>
      </x:c>
    </x:row>
    <x:row r="18" s="39" customFormat="1" ht="15" customHeight="1">
      <x:c r="A18" s="70" t="inlineStr">
        <x:is>
          <x:t xml:space="preserve">Documentos/Relatórios Tráfego Pago/*.pdf</x:t>
        </x:is>
      </x:c>
      <x:c r="B18" s="70" t="inlineStr">
        <x:is>
          <x:t xml:space="preserve">Meta Ads / PDFs</x:t>
        </x:is>
      </x:c>
      <x:c r="C18" s="71" t="inlineStr">
        <x:is>
          <x:t xml:space="preserve">Lido e consolidado</x:t>
        </x:is>
      </x:c>
      <x:c r="D18" s="70" t="inlineStr">
        <x:is>
          <x:t xml:space="preserve">Sim</x:t>
        </x:is>
      </x:c>
      <x:c r="E18" s="70" t="inlineStr">
        <x:is>
          <x:t xml:space="preserve">6 relatórios consolidados em uma aba única.</x:t>
        </x:is>
      </x:c>
    </x:row>
    <x:row r="19" s="39" customFormat="1" ht="15" customHeight="1">
      <x:c r="A19" s="70" t="inlineStr">
        <x:is>
          <x:t xml:space="preserve">Instagram/past_instagram_insights/audience_insights.json</x:t>
        </x:is>
      </x:c>
      <x:c r="B19" s="70" t="inlineStr">
        <x:is>
          <x:t xml:space="preserve">Instagram insights</x:t>
        </x:is>
      </x:c>
      <x:c r="C19" s="71" t="inlineStr">
        <x:is>
          <x:t xml:space="preserve">Lido e consolidado</x:t>
        </x:is>
      </x:c>
      <x:c r="D19" s="70" t="inlineStr">
        <x:is>
          <x:t xml:space="preserve">Sim</x:t>
        </x:is>
      </x:c>
      <x:c r="E19" s="70" t="inlineStr">
        <x:is>
          <x:t xml:space="preserve">Demografia, ganho/perda de seguidores e atividade por dia.</x:t>
        </x:is>
      </x:c>
    </x:row>
    <x:row r="20" s="39" customFormat="1" ht="15" customHeight="1">
      <x:c r="A20" s="70" t="inlineStr">
        <x:is>
          <x:t xml:space="preserve">Instagram/past_instagram_insights/content_interactions.json</x:t>
        </x:is>
      </x:c>
      <x:c r="B20" s="70" t="inlineStr">
        <x:is>
          <x:t xml:space="preserve">Instagram insights</x:t>
        </x:is>
      </x:c>
      <x:c r="C20" s="71" t="inlineStr">
        <x:is>
          <x:t xml:space="preserve">Lido e consolidado</x:t>
        </x:is>
      </x:c>
      <x:c r="D20" s="70" t="inlineStr">
        <x:is>
          <x:t xml:space="preserve">Sim</x:t>
        </x:is>
      </x:c>
      <x:c r="E20" s="70" t="inlineStr">
        <x:is>
          <x:t xml:space="preserve">Interações por formato e contas engajadas.</x:t>
        </x:is>
      </x:c>
    </x:row>
    <x:row r="21" s="39" customFormat="1" ht="15" customHeight="1">
      <x:c r="A21" s="70" t="inlineStr">
        <x:is>
          <x:t xml:space="preserve">Instagram/past_instagram_insights/posts.json</x:t>
        </x:is>
      </x:c>
      <x:c r="B21" s="70" t="inlineStr">
        <x:is>
          <x:t xml:space="preserve">Instagram insights</x:t>
        </x:is>
      </x:c>
      <x:c r="C21" s="71" t="inlineStr">
        <x:is>
          <x:t xml:space="preserve">Lido e consolidado</x:t>
        </x:is>
      </x:c>
      <x:c r="D21" s="70" t="inlineStr">
        <x:is>
          <x:t xml:space="preserve">Sim</x:t>
        </x:is>
      </x:c>
      <x:c r="E21" s="70" t="inlineStr">
        <x:is>
          <x:t xml:space="preserve">200 posts com métricas por conteúdo.</x:t>
        </x:is>
      </x:c>
    </x:row>
    <x:row r="22" s="39" customFormat="1" ht="15" customHeight="1">
      <x:c r="A22" s="70" t="inlineStr">
        <x:is>
          <x:t xml:space="preserve">Instagram/past_instagram_insights/profiles_reached.json</x:t>
        </x:is>
      </x:c>
      <x:c r="B22" s="70" t="inlineStr">
        <x:is>
          <x:t xml:space="preserve">Instagram insights</x:t>
        </x:is>
      </x:c>
      <x:c r="C22" s="71" t="inlineStr">
        <x:is>
          <x:t xml:space="preserve">Lido e consolidado</x:t>
        </x:is>
      </x:c>
      <x:c r="D22" s="70" t="inlineStr">
        <x:is>
          <x:t xml:space="preserve">Sim</x:t>
        </x:is>
      </x:c>
      <x:c r="E22" s="70" t="inlineStr">
        <x:is>
          <x:t xml:space="preserve">Alcance, impressões, visitas ao perfil e cliques externos.</x:t>
        </x:is>
      </x:c>
    </x:row>
    <x:row r="23" s="39" customFormat="1" ht="15" customHeight="1">
      <x:c r="A23" s="70" t="inlineStr">
        <x:is>
          <x:t xml:space="preserve">Instagram/media/posts_1.json</x:t>
        </x:is>
      </x:c>
      <x:c r="B23" s="70" t="inlineStr">
        <x:is>
          <x:t xml:space="preserve">Instagram export</x:t>
        </x:is>
      </x:c>
      <x:c r="C23" s="71" t="inlineStr">
        <x:is>
          <x:t xml:space="preserve">Lido e consolidado</x:t>
        </x:is>
      </x:c>
      <x:c r="D23" s="70" t="inlineStr">
        <x:is>
          <x:t xml:space="preserve">Sim</x:t>
        </x:is>
      </x:c>
      <x:c r="E23" s="70" t="inlineStr">
        <x:is>
          <x:t xml:space="preserve">Volume mensal de posts publicados.</x:t>
        </x:is>
      </x:c>
    </x:row>
    <x:row r="24" s="39" customFormat="1" ht="15" customHeight="1">
      <x:c r="A24" s="70" t="inlineStr">
        <x:is>
          <x:t xml:space="preserve">Instagram/media/reels.json</x:t>
        </x:is>
      </x:c>
      <x:c r="B24" s="70" t="inlineStr">
        <x:is>
          <x:t xml:space="preserve">Instagram export</x:t>
        </x:is>
      </x:c>
      <x:c r="C24" s="71" t="inlineStr">
        <x:is>
          <x:t xml:space="preserve">Lido e consolidado</x:t>
        </x:is>
      </x:c>
      <x:c r="D24" s="70" t="inlineStr">
        <x:is>
          <x:t xml:space="preserve">Sim</x:t>
        </x:is>
      </x:c>
      <x:c r="E24" s="70" t="inlineStr">
        <x:is>
          <x:t xml:space="preserve">Volume mensal de reels publicados.</x:t>
        </x:is>
      </x:c>
    </x:row>
    <x:row r="25" s="39" customFormat="1" ht="15" customHeight="1">
      <x:c r="A25" s="70" t="inlineStr">
        <x:is>
          <x:t xml:space="preserve">Instagram/media/stories.json</x:t>
        </x:is>
      </x:c>
      <x:c r="B25" s="70" t="inlineStr">
        <x:is>
          <x:t xml:space="preserve">Instagram export</x:t>
        </x:is>
      </x:c>
      <x:c r="C25" s="71" t="inlineStr">
        <x:is>
          <x:t xml:space="preserve">Lido e consolidado</x:t>
        </x:is>
      </x:c>
      <x:c r="D25" s="70" t="inlineStr">
        <x:is>
          <x:t xml:space="preserve">Sim</x:t>
        </x:is>
      </x:c>
      <x:c r="E25" s="70" t="inlineStr">
        <x:is>
          <x:t xml:space="preserve">Volume mensal de stories publicados.</x:t>
        </x:is>
      </x:c>
    </x:row>
    <x:row r="26" s="39" customFormat="1" ht="21.649999618530273" customHeight="1">
      <x:c r="A26" s="70" t="inlineStr">
        <x:is>
          <x:t xml:space="preserve">Instagram/connections/followers_and_following/followers_1.json</x:t>
        </x:is>
      </x:c>
      <x:c r="B26" s="70" t="inlineStr">
        <x:is>
          <x:t xml:space="preserve">Instagram export</x:t>
        </x:is>
      </x:c>
      <x:c r="C26" s="71" t="inlineStr">
        <x:is>
          <x:t xml:space="preserve">Lido e consolidado</x:t>
        </x:is>
      </x:c>
      <x:c r="D26" s="70" t="inlineStr">
        <x:is>
          <x:t xml:space="preserve">Sim</x:t>
        </x:is>
      </x:c>
      <x:c r="E26" s="70" t="inlineStr">
        <x:is>
          <x:t xml:space="preserve">Histórico diário de novos seguidores.</x:t>
        </x:is>
      </x:c>
    </x:row>
    <x:row r="27" s="39" customFormat="1" ht="15" customHeight="1">
      <x:c r="A27" s="70" t="inlineStr">
        <x:is>
          <x:t xml:space="preserve">Instagram/connections/followers_and_following/following.json</x:t>
        </x:is>
      </x:c>
      <x:c r="B27" s="70" t="inlineStr">
        <x:is>
          <x:t xml:space="preserve">Instagram export</x:t>
        </x:is>
      </x:c>
      <x:c r="C27" s="70" t="inlineStr">
        <x:is>
          <x:t xml:space="preserve">Lido superficialmente</x:t>
        </x:is>
      </x:c>
      <x:c r="D27" s="70" t="inlineStr">
        <x:is>
          <x:t xml:space="preserve">Não por ora</x:t>
        </x:is>
      </x:c>
      <x:c r="E27" s="70" t="inlineStr">
        <x:is>
          <x:t xml:space="preserve">Seguindo atual; não é prioridade para o dashboard inicial.</x:t>
        </x:is>
      </x:c>
    </x:row>
    <x:row r="28" s="39" customFormat="1" ht="31.899999618530273" customHeight="1">
      <x:c r="A28" s="70" t="inlineStr">
        <x:is>
          <x:t xml:space="preserve">Documentos/Planejamento_Estratégico_ACIRV_2026_Conectar_e_Crescer.pptx.pdf</x:t>
        </x:is>
      </x:c>
      <x:c r="B28" s="70" t="inlineStr">
        <x:is>
          <x:t xml:space="preserve">Planejamento estratégico</x:t>
        </x:is>
      </x:c>
      <x:c r="C28" s="71" t="inlineStr">
        <x:is>
          <x:t xml:space="preserve">Lido e consolidado</x:t>
        </x:is>
      </x:c>
      <x:c r="D28" s="70" t="inlineStr">
        <x:is>
          <x:t xml:space="preserve">Sim</x:t>
        </x:is>
      </x:c>
      <x:c r="E28" s="70" t="inlineStr">
        <x:is>
          <x:t xml:space="preserve">Fonte das metas estratégicas 2026.</x:t>
        </x:is>
      </x:c>
    </x:row>
    <x:row r="29" s="39" customFormat="1" ht="15" customHeight="1">
      <x:c r="A29" s="70" t="inlineStr">
        <x:is>
          <x:t xml:space="preserve">Documentos/ACIRV_stakeholders_apresentacao.pdf</x:t>
        </x:is>
      </x:c>
      <x:c r="B29" s="70" t="inlineStr">
        <x:is>
          <x:t xml:space="preserve">Apresentação diagnóstico</x:t>
        </x:is>
      </x:c>
      <x:c r="C29" s="71" t="inlineStr">
        <x:is>
          <x:t xml:space="preserve">Lido e consolidado</x:t>
        </x:is>
      </x:c>
      <x:c r="D29" s="70" t="inlineStr">
        <x:is>
          <x:t xml:space="preserve">Sim</x:t>
        </x:is>
      </x:c>
      <x:c r="E29" s="70" t="inlineStr">
        <x:is>
          <x:t xml:space="preserve">Usado para validar o diagnóstico dos 84 posts.</x:t>
        </x:is>
      </x:c>
    </x:row>
    <x:row r="30" s="39" customFormat="1" ht="15" customHeight="1">
      <x:c r="A30" s="70" t="inlineStr">
        <x:is>
          <x:t xml:space="preserve">Notas/Lista de associados em JSON.md</x:t>
        </x:is>
      </x:c>
      <x:c r="B30" s="70" t="inlineStr">
        <x:is>
          <x:t xml:space="preserve">Base de associados</x:t>
        </x:is>
      </x:c>
      <x:c r="C30" s="71" t="inlineStr">
        <x:is>
          <x:t xml:space="preserve">Lido e consolidado</x:t>
        </x:is>
      </x:c>
      <x:c r="D30" s="70" t="inlineStr">
        <x:is>
          <x:t xml:space="preserve">Sim</x:t>
        </x:is>
      </x:c>
      <x:c r="E30" s="70" t="inlineStr">
        <x:is>
          <x:t xml:space="preserve">527 associados com categoria, classificação e segmento.</x:t>
        </x:is>
      </x:c>
    </x:row>
    <x:row r="31" s="39" customFormat="1" ht="21.649999618530273" customHeight="1">
      <x:c r="A31" s="70" t="inlineStr">
        <x:is>
          <x:t xml:space="preserve">Notas/Lista Presença 5º Edição CNPJ - Conecta Acirv - Mesa Networking.md</x:t>
        </x:is>
      </x:c>
      <x:c r="B31" s="70" t="inlineStr">
        <x:is>
          <x:t xml:space="preserve">Evento / presença</x:t>
        </x:is>
      </x:c>
      <x:c r="C31" s="71" t="inlineStr">
        <x:is>
          <x:t xml:space="preserve">Lido e consolidado</x:t>
        </x:is>
      </x:c>
      <x:c r="D31" s="70" t="inlineStr">
        <x:is>
          <x:t xml:space="preserve">Sim</x:t>
        </x:is>
      </x:c>
      <x:c r="E31" s="70" t="inlineStr">
        <x:is>
          <x:t xml:space="preserve">60 registros de presença parseados da tabela markdown.</x:t>
        </x:is>
      </x:c>
    </x:row>
    <x:row r="32" s="39" customFormat="1" ht="15" customHeight="1">
      <x:c r="A32" s="70" t="inlineStr">
        <x:is>
          <x:t xml:space="preserve">Notas/Números sobre o Conecta.md</x:t>
        </x:is>
      </x:c>
      <x:c r="B32" s="70" t="inlineStr">
        <x:is>
          <x:t xml:space="preserve">Evento / histórico</x:t>
        </x:is>
      </x:c>
      <x:c r="C32" s="71" t="inlineStr">
        <x:is>
          <x:t xml:space="preserve">Lido e consolidado</x:t>
        </x:is>
      </x:c>
      <x:c r="D32" s="70" t="inlineStr">
        <x:is>
          <x:t xml:space="preserve">Sim</x:t>
        </x:is>
      </x:c>
      <x:c r="E32" s="70" t="inlineStr">
        <x:is>
          <x:t xml:space="preserve">Negócios gerados e participação acumulada.</x:t>
        </x:is>
      </x:c>
    </x:row>
    <x:row r="33" s="39" customFormat="1" ht="15" customHeight="1">
      <x:c r="A33" s="70" t="inlineStr">
        <x:is>
          <x:t xml:space="preserve">Notas/Dados sobre o Conecta Saúde.md</x:t>
        </x:is>
      </x:c>
      <x:c r="B33" s="70" t="inlineStr">
        <x:is>
          <x:t xml:space="preserve">Evento / pós-evento</x:t>
        </x:is>
      </x:c>
      <x:c r="C33" s="71" t="inlineStr">
        <x:is>
          <x:t xml:space="preserve">Lido e consolidado</x:t>
        </x:is>
      </x:c>
      <x:c r="D33" s="70" t="inlineStr">
        <x:is>
          <x:t xml:space="preserve">Sim</x:t>
        </x:is>
      </x:c>
      <x:c r="E33" s="70" t="inlineStr">
        <x:is>
          <x:t xml:space="preserve">Capacidade máxima e presentes do evento.</x:t>
        </x:is>
      </x:c>
    </x:row>
    <x:row r="34" s="39" customFormat="1" ht="15" customHeight="1">
      <x:c r="A34" s="70" t="inlineStr">
        <x:is>
          <x:t xml:space="preserve">Notas/Dados sobre o Fórum.md</x:t>
        </x:is>
      </x:c>
      <x:c r="B34" s="70" t="inlineStr">
        <x:is>
          <x:t xml:space="preserve">Evento / pós-evento</x:t>
        </x:is>
      </x:c>
      <x:c r="C34" s="72" t="inlineStr">
        <x:is>
          <x:t xml:space="preserve">Lido parcialmente</x:t>
        </x:is>
      </x:c>
      <x:c r="D34" s="70" t="inlineStr">
        <x:is>
          <x:t xml:space="preserve">Parcial</x:t>
        </x:is>
      </x:c>
      <x:c r="E34" s="70" t="inlineStr">
        <x:is>
          <x:t xml:space="preserve">Traz contexto do fórum, mas sem headcount consolidado.</x:t>
        </x:is>
      </x:c>
    </x:row>
    <x:row r="35" s="39" customFormat="1" ht="15" customHeight="1">
      <x:c r="A35" s="70" t="inlineStr">
        <x:is>
          <x:t xml:space="preserve">Notas/Acessos site.md</x:t>
        </x:is>
      </x:c>
      <x:c r="B35" s="70" t="inlineStr">
        <x:is>
          <x:t xml:space="preserve">Acesso interno</x:t>
        </x:is>
      </x:c>
      <x:c r="C35" s="75" t="inlineStr">
        <x:is>
          <x:t xml:space="preserve">Não consolidado</x:t>
        </x:is>
      </x:c>
      <x:c r="D35" s="70" t="inlineStr">
        <x:is>
          <x:t xml:space="preserve">Não</x:t>
        </x:is>
      </x:c>
      <x:c r="E35" s="70" t="inlineStr">
        <x:is>
          <x:t xml:space="preserve">Arquivo contém credenciais/sensíveis; omitido da planilha.</x:t>
        </x:is>
      </x:c>
    </x:row>
  </x:sheetData>
  <x:mergeCells>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6" style="67" customWidth="1"/>
    <x:col min="3" max="3" width="20" style="67" customWidth="1"/>
    <x:col min="4" max="4" width="32.959999084472656" style="67" customWidth="1"/>
    <x:col min="5" max="5" width="23.739999771118164" style="67" customWidth="1"/>
    <x:col min="6" max="6" width="29.489999771118164" style="67" customWidth="1"/>
    <x:col min="7" max="7" width="15" style="67" customWidth="1"/>
    <x:col min="8" max="9" width="20" style="67" customWidth="1"/>
    <x:col min="10" max="10" width="12" style="67" customWidth="1"/>
    <x:col min="11" max="12" width="10" style="67" customWidth="1"/>
    <x:col min="13" max="13" width="12" style="67" customWidth="1"/>
    <x:col min="14" max="18" width="20" style="67" customWidth="1"/>
    <x:col min="19" max="19" width="31" style="67" customWidth="1"/>
    <x:col min="20" max="20" width="21.25" style="67" customWidth="1"/>
    <x:col min="21" max="21" width="24" style="67" customWidth="1"/>
    <x:col min="22" max="22" width="19" style="67" customWidth="1"/>
    <x:col min="23" max="24" width="45" style="67" customWidth="1"/>
    <x:col min="25" max="25" width="11" style="67" customWidth="1"/>
  </x:cols>
  <x:sheetData>
    <x:row r="1" s="39" customFormat="1" ht="20.450000762939453" customHeight="1">
      <x:c r="A1" s="68" t="inlineStr">
        <x:is>
          <x:t xml:space="preserve">KPIs Mensais Oficiais</x:t>
        </x:is>
      </x:c>
    </x:row>
    <x:row r="2" s="39" customFormat="1" ht="15" customHeight="1">
      <x:c r="A2" s="74" t="inlineStr">
        <x:is>
          <x:t xml:space="preserve">Mescla relatórios mensais, PDFs e notas. Itens marcados como revisar merecem validação manual.</x:t>
        </x:is>
      </x:c>
    </x:row>
    <x:row r="4" s="39" customFormat="1" ht="15" customHeight="1">
      <x:c r="A4" s="69" t="inlineStr">
        <x:is>
          <x:t xml:space="preserve">month</x:t>
        </x:is>
      </x:c>
      <x:c r="B4" s="69" t="inlineStr">
        <x:is>
          <x:t xml:space="preserve">mes</x:t>
        </x:is>
      </x:c>
      <x:c r="C4" s="69" t="inlineStr">
        <x:is>
          <x:t xml:space="preserve">seguidores_fim_mes</x:t>
        </x:is>
      </x:c>
      <x:c r="D4" s="69" t="inlineStr">
        <x:is>
          <x:t xml:space="preserve">total_crescimento_seguidores</x:t>
        </x:is>
      </x:c>
      <x:c r="E4" s="69" t="inlineStr">
        <x:is>
          <x:t xml:space="preserve">começaram_a_seguir</x:t>
        </x:is>
      </x:c>
      <x:c r="F4" s="69" t="inlineStr">
        <x:is>
          <x:t xml:space="preserve">Deixaram_de_seguir</x:t>
        </x:is>
      </x:c>
      <x:c r="G4" s="69" t="inlineStr">
        <x:is>
          <x:t xml:space="preserve">visualizacoes</x:t>
        </x:is>
      </x:c>
      <x:c r="H4" s="69" t="inlineStr">
        <x:is>
          <x:t xml:space="preserve">pct_visualizacoes_ads</x:t>
        </x:is>
      </x:c>
      <x:c r="I4" s="69" t="inlineStr">
        <x:is>
          <x:t xml:space="preserve">pct_nao_seguidores</x:t>
        </x:is>
      </x:c>
      <x:c r="J4" s="69" t="inlineStr">
        <x:is>
          <x:t xml:space="preserve">posts_feed</x:t>
        </x:is>
      </x:c>
      <x:c r="K4" s="69" t="inlineStr">
        <x:is>
          <x:t xml:space="preserve">stories</x:t>
        </x:is>
      </x:c>
      <x:c r="L4" s="69" t="inlineStr">
        <x:is>
          <x:t xml:space="preserve">reels</x:t>
        </x:is>
      </x:c>
      <x:c r="M4" s="69" t="inlineStr">
        <x:is>
          <x:t xml:space="preserve">interacoes</x:t>
        </x:is>
      </x:c>
      <x:c r="N4" s="69" t="inlineStr">
        <x:is>
          <x:t xml:space="preserve">interacoes_posts</x:t>
        </x:is>
      </x:c>
      <x:c r="O4" s="69" t="inlineStr">
        <x:is>
          <x:t xml:space="preserve">interacoes_stories</x:t>
        </x:is>
      </x:c>
      <x:c r="P4" s="69" t="inlineStr">
        <x:is>
          <x:t xml:space="preserve">interacoes_reels</x:t>
        </x:is>
      </x:c>
      <x:c r="Q4" s="69" t="inlineStr">
        <x:is>
          <x:t xml:space="preserve">interacoes_live</x:t>
        </x:is>
      </x:c>
      <x:c r="R4" s="69" t="inlineStr">
        <x:is>
          <x:t xml:space="preserve">pct_interacoes_ads</x:t>
        </x:is>
      </x:c>
      <x:c r="S4" s="69" t="inlineStr">
        <x:is>
          <x:t xml:space="preserve">pct_interacoes_nao_seguidores</x:t>
        </x:is>
      </x:c>
      <x:c r="T4" s="69" t="inlineStr">
        <x:is>
          <x:t xml:space="preserve">Assessoria_imprensa</x:t>
        </x:is>
      </x:c>
      <x:c r="U4" s="69" t="inlineStr">
        <x:is>
          <x:t xml:space="preserve">materias_site</x:t>
        </x:is>
      </x:c>
      <x:c r="V4" s="69" t="inlineStr">
        <x:is>
          <x:t xml:space="preserve">videos_produzidos</x:t>
        </x:is>
      </x:c>
      <x:c r="W4" s="69" t="inlineStr">
        <x:is>
          <x:t xml:space="preserve">fonte</x:t>
        </x:is>
      </x:c>
      <x:c r="X4" s="69" t="inlineStr">
        <x:is>
          <x:t xml:space="preserve">observacoes</x:t>
        </x:is>
      </x:c>
      <x:c r="Y4" s="69" t="inlineStr">
        <x:is>
          <x:t xml:space="preserve">qualidade</x:t>
        </x:is>
      </x:c>
    </x:row>
    <x:row r="5" s="39" customFormat="1" ht="15" customHeight="1">
      <x:c r="A5" s="70" t="inlineStr">
        <x:is>
          <x:t xml:space="preserve">2025-06</x:t>
        </x:is>
      </x:c>
      <x:c r="B5" s="70" t="inlineStr">
        <x:is>
          <x:t xml:space="preserve">Junho/2025</x:t>
        </x:is>
      </x:c>
      <x:c r="C5" s="76" t="n">
        <x:v>6811</x:v>
      </x:c>
      <x:c r="D5" s="70" t="n"/>
      <x:c r="E5" s="70" t="n"/>
      <x:c r="F5" s="70" t="n"/>
      <x:c r="G5" s="70" t="n"/>
      <x:c r="H5" s="77" t="n"/>
      <x:c r="I5" s="78" t="n"/>
      <x:c r="J5" s="70" t="n"/>
      <x:c r="K5" s="70" t="n"/>
      <x:c r="L5" s="70" t="n"/>
      <x:c r="M5" s="70" t="n"/>
      <x:c r="N5" s="70" t="n"/>
      <x:c r="O5" s="70" t="n"/>
      <x:c r="P5" s="70" t="n"/>
      <x:c r="Q5" s="70" t="n"/>
      <x:c r="R5" s="78" t="n"/>
      <x:c r="S5" s="78" t="n"/>
      <x:c r="T5" s="70" t="n"/>
      <x:c r="U5" s="70" t="n"/>
      <x:c r="V5" s="70" t="n"/>
      <x:c r="W5" s="70" t="inlineStr">
        <x:is>
          <x:t xml:space="preserve">Notas/(MÉTRICAS) - 2025.md</x:t>
        </x:is>
      </x:c>
      <x:c r="X5" s="70" t="inlineStr">
        <x:is>
          <x:t xml:space="preserve">Ponto de referência informado em 30/06/2025.</x:t>
        </x:is>
      </x:c>
      <x:c r="Y5" s="71" t="inlineStr">
        <x:is>
          <x:t xml:space="preserve">ok</x:t>
        </x:is>
      </x:c>
    </x:row>
    <x:row r="6" s="39" customFormat="1" ht="15" customHeight="1">
      <x:c r="A6" s="70" t="inlineStr">
        <x:is>
          <x:t xml:space="preserve">2025-08</x:t>
        </x:is>
      </x:c>
      <x:c r="B6" s="70" t="inlineStr">
        <x:is>
          <x:t xml:space="preserve">Agosto/2025</x:t>
        </x:is>
      </x:c>
      <x:c r="C6" s="76" t="n">
        <x:v>7424</x:v>
      </x:c>
      <x:c r="D6" s="76" t="n">
        <x:v>305</x:v>
      </x:c>
      <x:c r="E6" s="76" t="n">
        <x:v>367</x:v>
      </x:c>
      <x:c r="F6" s="76" t="n">
        <x:v>62</x:v>
      </x:c>
      <x:c r="G6" s="76" t="n">
        <x:v>141000</x:v>
      </x:c>
      <x:c r="H6" s="77" t="n"/>
      <x:c r="I6" s="78" t="n">
        <x:v>0.44</x:v>
      </x:c>
      <x:c r="J6" s="76" t="n">
        <x:v>45</x:v>
      </x:c>
      <x:c r="K6" s="76" t="n">
        <x:v>11</x:v>
      </x:c>
      <x:c r="L6" s="76" t="n">
        <x:v>9</x:v>
      </x:c>
      <x:c r="M6" s="76" t="n">
        <x:v>3700</x:v>
      </x:c>
      <x:c r="N6" s="78" t="n">
        <x:v>0.549</x:v>
      </x:c>
      <x:c r="O6" s="78" t="n">
        <x:v>0.41</x:v>
      </x:c>
      <x:c r="P6" s="78" t="n">
        <x:v>0.04</x:v>
      </x:c>
      <x:c r="Q6" s="78" t="n"/>
      <x:c r="R6" s="78" t="n"/>
      <x:c r="S6" s="78" t="n"/>
      <x:c r="T6" s="76" t="n">
        <x:v>16</x:v>
      </x:c>
      <x:c r="U6" s="76" t="n">
        <x:v>9</x:v>
      </x:c>
      <x:c r="V6" s="70" t="n"/>
      <x:c r="W6" s="70" t="inlineStr">
        <x:is>
          <x:t xml:space="preserve">Notas/(MÉTRICAS) - 2025.md</x:t>
        </x:is>
      </x:c>
      <x:c r="X6" s="70" t="inlineStr">
        <x:is>
          <x:t xml:space="preserve">Stories informados como coberturas que não foram para o feed.</x:t>
        </x:is>
      </x:c>
      <x:c r="Y6" s="71" t="inlineStr">
        <x:is>
          <x:t xml:space="preserve">ok</x:t>
        </x:is>
      </x:c>
    </x:row>
    <x:row r="7" s="39" customFormat="1" ht="21.649999618530273" customHeight="1">
      <x:c r="A7" s="70" t="inlineStr">
        <x:is>
          <x:t xml:space="preserve">2025-09</x:t>
        </x:is>
      </x:c>
      <x:c r="B7" s="70" t="inlineStr">
        <x:is>
          <x:t xml:space="preserve">Setembro/2025</x:t>
        </x:is>
      </x:c>
      <x:c r="C7" s="76" t="n">
        <x:v>7729</x:v>
      </x:c>
      <x:c r="D7" s="76" t="n">
        <x:v>291</x:v>
      </x:c>
      <x:c r="E7" s="76" t="n">
        <x:v>376</x:v>
      </x:c>
      <x:c r="F7" s="76" t="n">
        <x:v>85</x:v>
      </x:c>
      <x:c r="G7" s="76" t="n">
        <x:v>310000</x:v>
      </x:c>
      <x:c r="H7" s="77" t="n"/>
      <x:c r="I7" s="78" t="n">
        <x:v>0.54</x:v>
      </x:c>
      <x:c r="J7" s="76" t="n">
        <x:v>56</x:v>
      </x:c>
      <x:c r="K7" s="76" t="n">
        <x:v>123</x:v>
      </x:c>
      <x:c r="L7" s="76" t="n">
        <x:v>7</x:v>
      </x:c>
      <x:c r="M7" s="76" t="n">
        <x:v>4991</x:v>
      </x:c>
      <x:c r="N7" s="78" t="n">
        <x:v>0.725</x:v>
      </x:c>
      <x:c r="O7" s="78" t="n">
        <x:v>0.193</x:v>
      </x:c>
      <x:c r="P7" s="78" t="n">
        <x:v>0.079</x:v>
      </x:c>
      <x:c r="Q7" s="78" t="n">
        <x:v>0.002</x:v>
      </x:c>
      <x:c r="R7" s="78" t="n">
        <x:v>0.005</x:v>
      </x:c>
      <x:c r="S7" s="78" t="n">
        <x:v>0.33</x:v>
      </x:c>
      <x:c r="T7" s="76" t="n">
        <x:v>10</x:v>
      </x:c>
      <x:c r="U7" s="76" t="n">
        <x:v>19</x:v>
      </x:c>
      <x:c r="V7" s="70" t="n"/>
      <x:c r="W7" s="70" t="inlineStr">
        <x:is>
          <x:t xml:space="preserve">Notas/(MÉTRICAS) - 2025.md + RELATORIO - SETEMBRO.pdf</x:t>
        </x:is>
      </x:c>
      <x:c r="X7" s="70" t="inlineStr">
        <x:is>
          <x:t xml:space="preserve">Stories = 4 coberturas + 102 menções repostadas + 17 vídeos direcionados.</x:t>
        </x:is>
      </x:c>
      <x:c r="Y7" s="71" t="inlineStr">
        <x:is>
          <x:t xml:space="preserve">ok</x:t>
        </x:is>
      </x:c>
    </x:row>
    <x:row r="8" s="39" customFormat="1" ht="15" customHeight="1">
      <x:c r="A8" s="70" t="inlineStr">
        <x:is>
          <x:t xml:space="preserve">2025-10</x:t>
        </x:is>
      </x:c>
      <x:c r="B8" s="70" t="inlineStr">
        <x:is>
          <x:t xml:space="preserve">Outubro/2025</x:t>
        </x:is>
      </x:c>
      <x:c r="C8" s="76" t="n">
        <x:v>8002</x:v>
      </x:c>
      <x:c r="D8" s="76" t="n">
        <x:v>325</x:v>
      </x:c>
      <x:c r="E8" s="76" t="n">
        <x:v>430</x:v>
      </x:c>
      <x:c r="F8" s="76" t="n">
        <x:v>105</x:v>
      </x:c>
      <x:c r="G8" s="76" t="n">
        <x:v>330000</x:v>
      </x:c>
      <x:c r="H8" s="77" t="n"/>
      <x:c r="I8" s="78" t="n">
        <x:v>0.57</x:v>
      </x:c>
      <x:c r="J8" s="76" t="n">
        <x:v>68</x:v>
      </x:c>
      <x:c r="K8" s="70" t="n">
        <x:v>121</x:v>
      </x:c>
      <x:c r="L8" s="76" t="n">
        <x:v>5</x:v>
      </x:c>
      <x:c r="M8" s="76" t="n">
        <x:v>4817</x:v>
      </x:c>
      <x:c r="N8" s="78" t="n">
        <x:v>0.705</x:v>
      </x:c>
      <x:c r="O8" s="78" t="n">
        <x:v>0.219</x:v>
      </x:c>
      <x:c r="P8" s="78" t="n">
        <x:v>0.075</x:v>
      </x:c>
      <x:c r="Q8" s="78" t="n"/>
      <x:c r="R8" s="78" t="n">
        <x:v>0.08400000000000001</x:v>
      </x:c>
      <x:c r="S8" s="78" t="n">
        <x:v>0.284</x:v>
      </x:c>
      <x:c r="T8" s="70" t="n">
        <x:v>9</x:v>
      </x:c>
      <x:c r="U8" s="70" t="n">
        <x:v>15</x:v>
      </x:c>
      <x:c r="V8" s="70" t="n"/>
      <x:c r="W8" s="70" t="inlineStr">
        <x:is>
          <x:t xml:space="preserve">Notas/(MÉTRICAS) - 2025.md</x:t>
        </x:is>
      </x:c>
      <x:c r="X8" s="70" t="inlineStr">
        <x:is>
          <x:t xml:space="preserve">Sem contagem consolidada de stories no arquivo lido.</x:t>
        </x:is>
      </x:c>
      <x:c r="Y8" s="71" t="inlineStr">
        <x:is>
          <x:t xml:space="preserve">ok</x:t>
        </x:is>
      </x:c>
    </x:row>
    <x:row r="9" s="39" customFormat="1" ht="21.649999618530273" customHeight="1">
      <x:c r="A9" s="70" t="inlineStr">
        <x:is>
          <x:t xml:space="preserve">2025-11</x:t>
        </x:is>
      </x:c>
      <x:c r="B9" s="70" t="inlineStr">
        <x:is>
          <x:t xml:space="preserve">Novembro/2025</x:t>
        </x:is>
      </x:c>
      <x:c r="C9" s="76" t="n">
        <x:v>8203</x:v>
      </x:c>
      <x:c r="D9" s="76" t="n">
        <x:v>236</x:v>
      </x:c>
      <x:c r="E9" s="76" t="n">
        <x:v>331</x:v>
      </x:c>
      <x:c r="F9" s="76" t="n">
        <x:v>95</x:v>
      </x:c>
      <x:c r="G9" s="76" t="n">
        <x:v>430445</x:v>
      </x:c>
      <x:c r="H9" s="77" t="n">
        <x:v>0.324</x:v>
      </x:c>
      <x:c r="I9" s="78" t="n">
        <x:v>0.6899999999999999</x:v>
      </x:c>
      <x:c r="J9" s="76" t="n">
        <x:v>60</x:v>
      </x:c>
      <x:c r="K9" s="76" t="n">
        <x:v>192</x:v>
      </x:c>
      <x:c r="L9" s="76" t="n">
        <x:v>16</x:v>
      </x:c>
      <x:c r="M9" s="76" t="n">
        <x:v>2869</x:v>
      </x:c>
      <x:c r="N9" s="78" t="n">
        <x:v>0.595</x:v>
      </x:c>
      <x:c r="O9" s="78" t="n">
        <x:v>0.239</x:v>
      </x:c>
      <x:c r="P9" s="78" t="n">
        <x:v>0.166</x:v>
      </x:c>
      <x:c r="Q9" s="78" t="n"/>
      <x:c r="R9" s="78" t="n">
        <x:v>0.105</x:v>
      </x:c>
      <x:c r="S9" s="78" t="n">
        <x:v>0.261</x:v>
      </x:c>
      <x:c r="T9" s="70" t="n">
        <x:v>10</x:v>
      </x:c>
      <x:c r="U9" s="70" t="n">
        <x:v>4</x:v>
      </x:c>
      <x:c r="V9" s="70" t="n"/>
      <x:c r="W9" s="70" t="inlineStr">
        <x:is>
          <x:t xml:space="preserve">Notas/(MÉTRICAS) - 2025.md + RELATÓRIO ACIRV (NOVEMBRO).pdf</x:t>
        </x:is>
      </x:c>
      <x:c r="X9" s="70" t="inlineStr">
        <x:is>
          <x:t xml:space="preserve">Há divergência no PDF sobre seguidores (+331 / 8.163). Mantido 8.203 do arquivo de notas e visualizações do PDF.</x:t>
        </x:is>
      </x:c>
      <x:c r="Y9" s="71" t="inlineStr">
        <x:is>
          <x:t xml:space="preserve">ok</x:t>
        </x:is>
      </x:c>
    </x:row>
    <x:row r="10" s="39" customFormat="1" ht="15" customHeight="1">
      <x:c r="A10" s="70" t="inlineStr">
        <x:is>
          <x:t xml:space="preserve">2025-12</x:t>
        </x:is>
      </x:c>
      <x:c r="B10" s="70" t="inlineStr">
        <x:is>
          <x:t xml:space="preserve">Dezembro/2025</x:t>
        </x:is>
      </x:c>
      <x:c r="C10" s="76" t="n">
        <x:v>8314</x:v>
      </x:c>
      <x:c r="D10" s="76" t="n">
        <x:v>126</x:v>
      </x:c>
      <x:c r="E10" s="76" t="n">
        <x:v>218</x:v>
      </x:c>
      <x:c r="F10" s="76" t="n">
        <x:v>92</x:v>
      </x:c>
      <x:c r="G10" s="76" t="n">
        <x:v>238492</x:v>
      </x:c>
      <x:c r="H10" s="77" t="n">
        <x:v>0.295</x:v>
      </x:c>
      <x:c r="I10" s="78" t="n">
        <x:v>0.673</x:v>
      </x:c>
      <x:c r="J10" s="76" t="n">
        <x:v>31</x:v>
      </x:c>
      <x:c r="K10" s="76" t="n">
        <x:v>173</x:v>
      </x:c>
      <x:c r="L10" s="76" t="n">
        <x:v>16</x:v>
      </x:c>
      <x:c r="M10" s="76" t="n">
        <x:v>2484</x:v>
      </x:c>
      <x:c r="N10" s="78" t="n">
        <x:v>0.5679999999999999</x:v>
      </x:c>
      <x:c r="O10" s="78" t="n">
        <x:v>0.155</x:v>
      </x:c>
      <x:c r="P10" s="78" t="n">
        <x:v>0.277</x:v>
      </x:c>
      <x:c r="Q10" s="78" t="n"/>
      <x:c r="R10" s="78" t="n">
        <x:v>0.095</x:v>
      </x:c>
      <x:c r="S10" s="78" t="n">
        <x:v>0.291</x:v>
      </x:c>
      <x:c r="T10" s="70" t="n">
        <x:v>10</x:v>
      </x:c>
      <x:c r="U10" s="70" t="n">
        <x:v>3</x:v>
      </x:c>
      <x:c r="V10" s="70" t="n"/>
      <x:c r="W10" s="70" t="inlineStr">
        <x:is>
          <x:t xml:space="preserve">Notas/(MÉTRICAS) - 2025.md</x:t>
        </x:is>
      </x:c>
      <x:c r="X10" s="70" t="n"/>
      <x:c r="Y10" s="71" t="inlineStr">
        <x:is>
          <x:t xml:space="preserve">ok</x:t>
        </x:is>
      </x:c>
    </x:row>
    <x:row r="11" s="39" customFormat="1" ht="15" customHeight="1">
      <x:c r="A11" s="70" t="inlineStr">
        <x:is>
          <x:t xml:space="preserve">2026-01</x:t>
        </x:is>
      </x:c>
      <x:c r="B11" s="70" t="inlineStr">
        <x:is>
          <x:t xml:space="preserve">Janeiro/2026</x:t>
        </x:is>
      </x:c>
      <x:c r="C11" s="76" t="n">
        <x:v>8448</x:v>
      </x:c>
      <x:c r="D11" s="76" t="n">
        <x:v>153</x:v>
      </x:c>
      <x:c r="E11" s="76" t="n">
        <x:v>244</x:v>
      </x:c>
      <x:c r="F11" s="76" t="n">
        <x:v>91</x:v>
      </x:c>
      <x:c r="G11" s="76" t="n">
        <x:v>145864</x:v>
      </x:c>
      <x:c r="H11" s="77" t="n">
        <x:v>0.164</x:v>
      </x:c>
      <x:c r="I11" s="78" t="n">
        <x:v>0.6909999999999999</x:v>
      </x:c>
      <x:c r="J11" s="76" t="n">
        <x:v>24</x:v>
      </x:c>
      <x:c r="K11" s="76" t="n">
        <x:v>54</x:v>
      </x:c>
      <x:c r="L11" s="76" t="n">
        <x:v>2</x:v>
      </x:c>
      <x:c r="M11" s="76" t="n">
        <x:v>1845</x:v>
      </x:c>
      <x:c r="N11" s="78" t="n">
        <x:v>0.838</x:v>
      </x:c>
      <x:c r="O11" s="78" t="n">
        <x:v>0.1</x:v>
      </x:c>
      <x:c r="P11" s="78" t="n">
        <x:v>0.062</x:v>
      </x:c>
      <x:c r="Q11" s="78" t="n"/>
      <x:c r="R11" s="78" t="n">
        <x:v>0.113</x:v>
      </x:c>
      <x:c r="S11" s="78" t="n">
        <x:v>0.39</x:v>
      </x:c>
      <x:c r="T11" s="70" t="n">
        <x:v>6</x:v>
      </x:c>
      <x:c r="U11" s="70" t="n">
        <x:v>2</x:v>
      </x:c>
      <x:c r="V11" s="76" t="n">
        <x:v>15</x:v>
      </x:c>
      <x:c r="W11" s="70" t="inlineStr">
        <x:is>
          <x:t xml:space="preserve">Notas/(RELATÓRIO MÉTRICAS) - Janeiro.md</x:t>
        </x:is>
      </x:c>
      <x:c r="X11" s="70" t="n"/>
      <x:c r="Y11" s="71" t="inlineStr">
        <x:is>
          <x:t xml:space="preserve">ok</x:t>
        </x:is>
      </x:c>
    </x:row>
    <x:row r="12" s="39" customFormat="1" ht="15" customHeight="1">
      <x:c r="A12" s="70" t="inlineStr">
        <x:is>
          <x:t xml:space="preserve">2026-02</x:t>
        </x:is>
      </x:c>
      <x:c r="B12" s="70" t="inlineStr">
        <x:is>
          <x:t xml:space="preserve">Fevereiro/2026</x:t>
        </x:is>
      </x:c>
      <x:c r="C12" s="76" t="n">
        <x:v>8603</x:v>
      </x:c>
      <x:c r="D12" s="76" t="n">
        <x:v>158</x:v>
      </x:c>
      <x:c r="E12" s="76" t="n">
        <x:v>253</x:v>
      </x:c>
      <x:c r="F12" s="76" t="n">
        <x:v>95</x:v>
      </x:c>
      <x:c r="G12" s="76" t="n">
        <x:v>200193</x:v>
      </x:c>
      <x:c r="H12" s="77" t="n">
        <x:v>0.342</x:v>
      </x:c>
      <x:c r="I12" s="78" t="n">
        <x:v>0.623</x:v>
      </x:c>
      <x:c r="J12" s="76" t="n">
        <x:v>25</x:v>
      </x:c>
      <x:c r="K12" s="76" t="n">
        <x:v>219</x:v>
      </x:c>
      <x:c r="L12" s="76" t="n">
        <x:v>7</x:v>
      </x:c>
      <x:c r="M12" s="76" t="n">
        <x:v>2822</x:v>
      </x:c>
      <x:c r="N12" s="78" t="n">
        <x:v>0.704</x:v>
      </x:c>
      <x:c r="O12" s="78" t="n">
        <x:v>0.203</x:v>
      </x:c>
      <x:c r="P12" s="78" t="n">
        <x:v>0.093</x:v>
      </x:c>
      <x:c r="Q12" s="78" t="n"/>
      <x:c r="R12" s="78" t="n">
        <x:v>0.066</x:v>
      </x:c>
      <x:c r="S12" s="78" t="n">
        <x:v>0.313</x:v>
      </x:c>
      <x:c r="T12" s="76" t="n">
        <x:v>8</x:v>
      </x:c>
      <x:c r="U12" s="70" t="n">
        <x:v>3</x:v>
      </x:c>
      <x:c r="V12" s="76" t="n">
        <x:v>34</x:v>
      </x:c>
      <x:c r="W12" s="70" t="inlineStr">
        <x:is>
          <x:t xml:space="preserve">Notas/(RELATÓRIO MÉTRICAS) - Fevereiro.md</x:t>
        </x:is>
      </x:c>
      <x:c r="X12" s="70" t="inlineStr">
        <x:is>
          <x:t xml:space="preserve">Visualizações: 34% vieram de anúncios.</x:t>
        </x:is>
      </x:c>
      <x:c r="Y12" s="71" t="inlineStr">
        <x:is>
          <x:t xml:space="preserve">ok</x:t>
        </x:is>
      </x:c>
    </x:row>
    <x:row r="13" s="39" customFormat="1" ht="41.54999923706055" customHeight="1">
      <x:c r="A13" s="70" t="inlineStr">
        <x:is>
          <x:t xml:space="preserve">2026-03</x:t>
        </x:is>
      </x:c>
      <x:c r="B13" s="70" t="inlineStr">
        <x:is>
          <x:t xml:space="preserve">Março/2026</x:t>
        </x:is>
      </x:c>
      <x:c r="C13" s="76" t="n">
        <x:v>8885</x:v>
      </x:c>
      <x:c r="D13" s="76" t="n">
        <x:v>217</x:v>
      </x:c>
      <x:c r="E13" s="76" t="n">
        <x:v>313</x:v>
      </x:c>
      <x:c r="F13" s="76" t="n">
        <x:v>96</x:v>
      </x:c>
      <x:c r="G13" s="76" t="n">
        <x:v>257518</x:v>
      </x:c>
      <x:c r="H13" s="77" t="n">
        <x:v>0.426</x:v>
      </x:c>
      <x:c r="I13" s="78" t="n">
        <x:v>0.635</x:v>
      </x:c>
      <x:c r="J13" s="76" t="n">
        <x:v>40</x:v>
      </x:c>
      <x:c r="K13" s="76" t="n">
        <x:v>325</x:v>
      </x:c>
      <x:c r="L13" s="76" t="n">
        <x:v>6</x:v>
      </x:c>
      <x:c r="M13" s="76" t="n">
        <x:v>3039</x:v>
      </x:c>
      <x:c r="N13" s="78" t="n">
        <x:v>0.6850000000000001</x:v>
      </x:c>
      <x:c r="O13" s="78" t="n">
        <x:v>0.177</x:v>
      </x:c>
      <x:c r="P13" s="78" t="n">
        <x:v>0.137</x:v>
      </x:c>
      <x:c r="Q13" s="78" t="n">
        <x:v>0.001</x:v>
      </x:c>
      <x:c r="R13" s="78" t="n">
        <x:v>0.024</x:v>
      </x:c>
      <x:c r="S13" s="78" t="n">
        <x:v>0.27</x:v>
      </x:c>
      <x:c r="T13" s="70" t="n"/>
      <x:c r="U13" s="70" t="n"/>
      <x:c r="V13" s="76" t="n">
        <x:v>19</x:v>
      </x:c>
      <x:c r="W13" s="70" t="inlineStr">
        <x:is>
          <x:t xml:space="preserve">Notas/(RELATÓRIO MÉTRICAS) - Março.md + textos auxiliares</x:t>
        </x:is>
      </x:c>
      <x:c r="X13" s="70" t="inlineStr">
        <x:is>
          <x:t xml:space="preserve">Falta acrescentar assessoria de imprensa e matérias do site.</x:t>
        </x:is>
      </x:c>
      <x:c r="Y13" s="72" t="inlineStr">
        <x:is>
          <x:t xml:space="preserve">revisar</x:t>
        </x:is>
      </x:c>
    </x:row>
    <x:row r="14" s="39" customFormat="1" ht="15" customHeight="1">
      <x:c r="H14" s="79" t="n"/>
    </x:row>
    <x:row r="15" s="39" customFormat="1" ht="15" customHeight="1">
      <x:c r="H15" s="79" t="n"/>
    </x:row>
  </x:sheetData>
  <x:mergeCells>
    <x:mergeCell ref="A2:Y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6" style="67" customWidth="1"/>
    <x:col min="3" max="3" width="13" style="67" customWidth="1"/>
    <x:col min="4" max="7" width="10" style="67" customWidth="1"/>
    <x:col min="8" max="8" width="12" style="67" customWidth="1"/>
    <x:col min="9" max="9" width="18" style="67" customWidth="1"/>
    <x:col min="10" max="10" width="22" style="67" customWidth="1"/>
    <x:col min="11" max="11" width="17" style="67" customWidth="1"/>
    <x:col min="12" max="14" width="10" style="67" customWidth="1"/>
    <x:col min="15" max="15" width="18" style="67" customWidth="1"/>
    <x:col min="16" max="16" width="21" style="67" customWidth="1"/>
    <x:col min="17" max="18" width="20" style="67" customWidth="1"/>
    <x:col min="19" max="19" width="14" style="67" customWidth="1"/>
  </x:cols>
  <x:sheetData>
    <x:row r="1" s="39" customFormat="1" ht="20.450000762939453" customHeight="1">
      <x:c r="A1" s="68" t="inlineStr">
        <x:is>
          <x:t xml:space="preserve">Mídia Paga</x:t>
        </x:is>
      </x:c>
    </x:row>
    <x:row r="2" s="39" customFormat="1" ht="15" customHeight="1">
      <x:c r="A2" s="74" t="inlineStr">
        <x:is>
          <x:t xml:space="preserve">Consolidação dos 6 relatórios PDF de tráfego pago.</x:t>
        </x:is>
      </x:c>
    </x:row>
    <x:row r="4" s="39" customFormat="1" ht="15" customHeight="1">
      <x:c r="A4" s="69" t="inlineStr">
        <x:is>
          <x:t xml:space="preserve">arquivo</x:t>
        </x:is>
      </x:c>
      <x:c r="B4" s="69" t="inlineStr">
        <x:is>
          <x:t xml:space="preserve">periodo_inicio</x:t>
        </x:is>
      </x:c>
      <x:c r="C4" s="69" t="inlineStr">
        <x:is>
          <x:t xml:space="preserve">periodo_fim</x:t>
        </x:is>
      </x:c>
      <x:c r="D4" s="69" t="inlineStr">
        <x:is>
          <x:t xml:space="preserve">clicks</x:t>
        </x:is>
      </x:c>
      <x:c r="E4" s="69" t="inlineStr">
        <x:is>
          <x:t xml:space="preserve">ctr</x:t>
        </x:is>
      </x:c>
      <x:c r="F4" s="69" t="inlineStr">
        <x:is>
          <x:t xml:space="preserve">cpc</x:t>
        </x:is>
      </x:c>
      <x:c r="G4" s="69" t="inlineStr">
        <x:is>
          <x:t xml:space="preserve">alcance</x:t>
        </x:is>
      </x:c>
      <x:c r="H4" s="69" t="inlineStr">
        <x:is>
          <x:t xml:space="preserve">frequencia</x:t>
        </x:is>
      </x:c>
      <x:c r="I4" s="69" t="inlineStr">
        <x:is>
          <x:t xml:space="preserve">impressoes_total</x:t>
        </x:is>
      </x:c>
      <x:c r="J4" s="69" t="inlineStr">
        <x:is>
          <x:t xml:space="preserve">impressoes_instagram</x:t>
        </x:is>
      </x:c>
      <x:c r="K4" s="69" t="inlineStr">
        <x:is>
          <x:t xml:space="preserve">valor_investido</x:t>
        </x:is>
      </x:c>
      <x:c r="L4" s="69" t="inlineStr">
        <x:is>
          <x:t xml:space="preserve">cpm</x:t>
        </x:is>
      </x:c>
      <x:c r="M4" s="69" t="inlineStr">
        <x:is>
          <x:t xml:space="preserve">roas</x:t>
        </x:is>
      </x:c>
      <x:c r="N4" s="69" t="inlineStr">
        <x:is>
          <x:t xml:space="preserve">compras</x:t>
        </x:is>
      </x:c>
      <x:c r="O4" s="69" t="inlineStr">
        <x:is>
          <x:t xml:space="preserve">custo_por_compra</x:t>
        </x:is>
      </x:c>
      <x:c r="P4" s="69" t="inlineStr">
        <x:is>
          <x:t xml:space="preserve">conversas_iniciadas</x:t>
        </x:is>
      </x:c>
      <x:c r="Q4" s="69" t="inlineStr">
        <x:is>
          <x:t xml:space="preserve">custo_por_conversa</x:t>
        </x:is>
      </x:c>
      <x:c r="R4" s="69" t="inlineStr">
        <x:is>
          <x:t xml:space="preserve">engajamento_pagina</x:t>
        </x:is>
      </x:c>
      <x:c r="S4" s="69" t="inlineStr">
        <x:is>
          <x:t xml:space="preserve">cliques_link</x:t>
        </x:is>
      </x:c>
    </x:row>
    <x:row r="5" s="39" customFormat="1" ht="15" customHeight="1">
      <x:c r="A5" s="70" t="inlineStr">
        <x:is>
          <x:t xml:space="preserve">01_Período 16102025 - 20112025.pdf</x:t>
        </x:is>
      </x:c>
      <x:c r="B5" s="80" t="n">
        <x:v>45946</x:v>
      </x:c>
      <x:c r="C5" s="80" t="n">
        <x:v>45981</x:v>
      </x:c>
      <x:c r="D5" s="76" t="n">
        <x:v>2036</x:v>
      </x:c>
      <x:c r="E5" s="78" t="n">
        <x:v>0.01</x:v>
      </x:c>
      <x:c r="F5" s="81" t="n">
        <x:v>0.48</x:v>
      </x:c>
      <x:c r="G5" s="76" t="n">
        <x:v>47279</x:v>
      </x:c>
      <x:c r="H5" s="82" t="n">
        <x:v>3.67</x:v>
      </x:c>
      <x:c r="I5" s="76" t="n">
        <x:v>173386</x:v>
      </x:c>
      <x:c r="J5" s="70" t="n"/>
      <x:c r="K5" s="83" t="n">
        <x:v>969.13</x:v>
      </x:c>
      <x:c r="L5" s="81" t="n">
        <x:v>5.59</x:v>
      </x:c>
      <x:c r="M5" s="82" t="n">
        <x:v>4.19</x:v>
      </x:c>
      <x:c r="N5" s="76" t="n">
        <x:v>17</x:v>
      </x:c>
      <x:c r="O5" s="83" t="n">
        <x:v>57.01</x:v>
      </x:c>
      <x:c r="P5" s="76" t="n">
        <x:v>33</x:v>
      </x:c>
      <x:c r="Q5" s="83" t="n">
        <x:v>29.37</x:v>
      </x:c>
      <x:c r="R5" s="70" t="n"/>
      <x:c r="S5" s="70" t="n"/>
    </x:row>
    <x:row r="6" s="39" customFormat="1" ht="15" customHeight="1">
      <x:c r="A6" s="70" t="inlineStr">
        <x:is>
          <x:t xml:space="preserve">02_Período 01112025 - 30112025.pdf</x:t>
        </x:is>
      </x:c>
      <x:c r="B6" s="80" t="n">
        <x:v>45962</x:v>
      </x:c>
      <x:c r="C6" s="80" t="n">
        <x:v>45991</x:v>
      </x:c>
      <x:c r="D6" s="76" t="n">
        <x:v>1413</x:v>
      </x:c>
      <x:c r="E6" s="78" t="n">
        <x:v>0.01</x:v>
      </x:c>
      <x:c r="F6" s="81" t="n">
        <x:v>0.48</x:v>
      </x:c>
      <x:c r="G6" s="76" t="n">
        <x:v>46612</x:v>
      </x:c>
      <x:c r="H6" s="82" t="n">
        <x:v>2.96</x:v>
      </x:c>
      <x:c r="I6" s="76" t="n">
        <x:v>138041</x:v>
      </x:c>
      <x:c r="J6" s="70" t="n"/>
      <x:c r="K6" s="83" t="n">
        <x:v>683.5599999999999</x:v>
      </x:c>
      <x:c r="L6" s="81" t="n">
        <x:v>4.95</x:v>
      </x:c>
      <x:c r="M6" s="82" t="n">
        <x:v>4.84</x:v>
      </x:c>
      <x:c r="N6" s="76" t="n">
        <x:v>14</x:v>
      </x:c>
      <x:c r="O6" s="83" t="n">
        <x:v>48.83</x:v>
      </x:c>
      <x:c r="P6" s="76" t="n">
        <x:v>12</x:v>
      </x:c>
      <x:c r="Q6" s="83" t="n">
        <x:v>56.96</x:v>
      </x:c>
      <x:c r="R6" s="70" t="n"/>
      <x:c r="S6" s="70" t="n"/>
    </x:row>
    <x:row r="7" s="39" customFormat="1" ht="15" customHeight="1">
      <x:c r="A7" s="70" t="inlineStr">
        <x:is>
          <x:t xml:space="preserve">03_Período 01122025 - 31122025.pdf</x:t>
        </x:is>
      </x:c>
      <x:c r="B7" s="80" t="n">
        <x:v>45992</x:v>
      </x:c>
      <x:c r="C7" s="80" t="n">
        <x:v>46022</x:v>
      </x:c>
      <x:c r="D7" s="76" t="n">
        <x:v>1724</x:v>
      </x:c>
      <x:c r="E7" s="78" t="n">
        <x:v>0.02</x:v>
      </x:c>
      <x:c r="F7" s="81" t="n">
        <x:v>0.22</x:v>
      </x:c>
      <x:c r="G7" s="76" t="n">
        <x:v>39965</x:v>
      </x:c>
      <x:c r="H7" s="82" t="n">
        <x:v>2.35</x:v>
      </x:c>
      <x:c r="I7" s="76" t="n">
        <x:v>94043</x:v>
      </x:c>
      <x:c r="J7" s="70" t="n"/>
      <x:c r="K7" s="83" t="n">
        <x:v>379.67</x:v>
      </x:c>
      <x:c r="L7" s="81" t="n">
        <x:v>4.04</x:v>
      </x:c>
      <x:c r="M7" s="82" t="n">
        <x:v>0</x:v>
      </x:c>
      <x:c r="N7" s="76" t="n">
        <x:v>0</x:v>
      </x:c>
      <x:c r="O7" s="83" t="n"/>
      <x:c r="P7" s="70" t="n"/>
      <x:c r="Q7" s="83" t="n"/>
      <x:c r="R7" s="70" t="n"/>
      <x:c r="S7" s="70" t="n"/>
    </x:row>
    <x:row r="8" s="39" customFormat="1" ht="15" customHeight="1">
      <x:c r="A8" s="70" t="inlineStr">
        <x:is>
          <x:t xml:space="preserve">04_Período 01012026 - 31012026.pdf</x:t>
        </x:is>
      </x:c>
      <x:c r="B8" s="80" t="n">
        <x:v>46023</x:v>
      </x:c>
      <x:c r="C8" s="80" t="n">
        <x:v>46053</x:v>
      </x:c>
      <x:c r="D8" s="76" t="n">
        <x:v>1340</x:v>
      </x:c>
      <x:c r="E8" s="78" t="n">
        <x:v>0.03</x:v>
      </x:c>
      <x:c r="F8" s="81" t="n">
        <x:v>0.14</x:v>
      </x:c>
      <x:c r="G8" s="76" t="n">
        <x:v>23100</x:v>
      </x:c>
      <x:c r="H8" s="82" t="n">
        <x:v>1.73</x:v>
      </x:c>
      <x:c r="I8" s="76" t="n">
        <x:v>39892</x:v>
      </x:c>
      <x:c r="J8" s="70" t="n"/>
      <x:c r="K8" s="83" t="n">
        <x:v>183.97</x:v>
      </x:c>
      <x:c r="L8" s="81" t="n">
        <x:v>4.61</x:v>
      </x:c>
      <x:c r="M8" s="82" t="n">
        <x:v>0</x:v>
      </x:c>
      <x:c r="N8" s="76" t="n">
        <x:v>0</x:v>
      </x:c>
      <x:c r="O8" s="83" t="n"/>
      <x:c r="P8" s="70" t="n"/>
      <x:c r="Q8" s="83" t="n"/>
      <x:c r="R8" s="70" t="n"/>
      <x:c r="S8" s="70" t="n"/>
    </x:row>
    <x:row r="9" s="39" customFormat="1" ht="15" customHeight="1">
      <x:c r="A9" s="70" t="inlineStr">
        <x:is>
          <x:t xml:space="preserve">05_Período 01022026 - 28022026.pdf</x:t>
        </x:is>
      </x:c>
      <x:c r="B9" s="80" t="n">
        <x:v>46054</x:v>
      </x:c>
      <x:c r="C9" s="80" t="n">
        <x:v>46081</x:v>
      </x:c>
      <x:c r="D9" s="76" t="n">
        <x:v>1947</x:v>
      </x:c>
      <x:c r="E9" s="78" t="n">
        <x:v>0.02</x:v>
      </x:c>
      <x:c r="F9" s="81" t="n">
        <x:v>0.17</x:v>
      </x:c>
      <x:c r="G9" s="76" t="n">
        <x:v>40391</x:v>
      </x:c>
      <x:c r="H9" s="82" t="n">
        <x:v>2.06</x:v>
      </x:c>
      <x:c r="I9" s="76" t="n">
        <x:v>83305</x:v>
      </x:c>
      <x:c r="J9" s="76" t="n">
        <x:v>73000</x:v>
      </x:c>
      <x:c r="K9" s="83" t="n">
        <x:v>332.99</x:v>
      </x:c>
      <x:c r="L9" s="76" t="n">
        <x:v>4</x:v>
      </x:c>
      <x:c r="M9" s="82" t="n"/>
      <x:c r="N9" s="70" t="n"/>
      <x:c r="O9" s="83" t="n"/>
      <x:c r="P9" s="70" t="n"/>
      <x:c r="Q9" s="83" t="n"/>
      <x:c r="R9" s="76" t="n">
        <x:v>2053</x:v>
      </x:c>
      <x:c r="S9" s="76" t="n">
        <x:v>1837</x:v>
      </x:c>
    </x:row>
    <x:row r="10" s="39" customFormat="1" ht="15" customHeight="1">
      <x:c r="A10" s="70" t="inlineStr">
        <x:is>
          <x:t xml:space="preserve">06_Período 01032026 - 31032026.pdf</x:t>
        </x:is>
      </x:c>
      <x:c r="B10" s="80" t="n">
        <x:v>46082</x:v>
      </x:c>
      <x:c r="C10" s="80" t="n">
        <x:v>46112</x:v>
      </x:c>
      <x:c r="D10" s="76" t="n">
        <x:v>1360</x:v>
      </x:c>
      <x:c r="E10" s="78" t="n">
        <x:v>0.01</x:v>
      </x:c>
      <x:c r="F10" s="81" t="n">
        <x:v>0.32</x:v>
      </x:c>
      <x:c r="G10" s="76" t="n">
        <x:v>36124</x:v>
      </x:c>
      <x:c r="H10" s="82" t="n">
        <x:v>2.85</x:v>
      </x:c>
      <x:c r="I10" s="76" t="n">
        <x:v>102861</x:v>
      </x:c>
      <x:c r="J10" s="76" t="n">
        <x:v>98706</x:v>
      </x:c>
      <x:c r="K10" s="83" t="n">
        <x:v>435.79</x:v>
      </x:c>
      <x:c r="L10" s="81" t="n">
        <x:v>4.24</x:v>
      </x:c>
      <x:c r="M10" s="82" t="n"/>
      <x:c r="N10" s="70" t="n"/>
      <x:c r="O10" s="83" t="n"/>
      <x:c r="P10" s="70" t="n"/>
      <x:c r="Q10" s="83" t="n"/>
      <x:c r="R10" s="76" t="n">
        <x:v>1684</x:v>
      </x:c>
      <x:c r="S10" s="76" t="n">
        <x:v>1346</x:v>
      </x:c>
    </x:row>
  </x:sheetData>
  <x:mergeCells>
    <x:mergeCell ref="A2:S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0" style="67" customWidth="1"/>
    <x:col min="3" max="3" width="11" style="67" customWidth="1"/>
    <x:col min="4" max="4" width="10" style="67" customWidth="1"/>
    <x:col min="5" max="5" width="13" style="67" customWidth="1"/>
    <x:col min="6" max="6" width="10" style="67" customWidth="1"/>
    <x:col min="7" max="7" width="13" style="67" customWidth="1"/>
    <x:col min="8" max="8" width="41" style="67" customWidth="1"/>
    <x:col min="9" max="9" width="45" style="67" customWidth="1"/>
  </x:cols>
  <x:sheetData>
    <x:row r="1" s="39" customFormat="1" ht="20.450000762939453" customHeight="1">
      <x:c r="A1" s="68" t="inlineStr">
        <x:is>
          <x:t xml:space="preserve">Instagram 84 Posts</x:t>
        </x:is>
      </x:c>
    </x:row>
    <x:row r="2" s="39" customFormat="1" ht="15" customHeight="1">
      <x:c r="A2" s="74" t="inlineStr">
        <x:is>
          <x:t xml:space="preserve">Base do diagnóstico de 84 posts entre 26/01/2026 e 10/04/2026.</x:t>
        </x:is>
      </x:c>
    </x:row>
    <x:row r="4" s="39" customFormat="1" ht="15" customHeight="1">
      <x:c r="A4" s="69" t="inlineStr">
        <x:is>
          <x:t xml:space="preserve">data_publicacao</x:t>
        </x:is>
      </x:c>
      <x:c r="B4" s="69" t="inlineStr">
        <x:is>
          <x:t xml:space="preserve">mes</x:t>
        </x:is>
      </x:c>
      <x:c r="C4" s="69" t="inlineStr">
        <x:is>
          <x:t xml:space="preserve">formato</x:t>
        </x:is>
      </x:c>
      <x:c r="D4" s="69" t="inlineStr">
        <x:is>
          <x:t xml:space="preserve">likes</x:t>
        </x:is>
      </x:c>
      <x:c r="E4" s="69" t="inlineStr">
        <x:is>
          <x:t xml:space="preserve">comentarios</x:t>
        </x:is>
      </x:c>
      <x:c r="F4" s="69" t="inlineStr">
        <x:is>
          <x:t xml:space="preserve">views</x:t>
        </x:is>
      </x:c>
      <x:c r="G4" s="69" t="inlineStr">
        <x:is>
          <x:t xml:space="preserve">engajamento</x:t>
        </x:is>
      </x:c>
      <x:c r="H4" s="69" t="inlineStr">
        <x:is>
          <x:t xml:space="preserve">url</x:t>
        </x:is>
      </x:c>
      <x:c r="I4" s="69" t="inlineStr">
        <x:is>
          <x:t xml:space="preserve">caption_curta</x:t>
        </x:is>
      </x:c>
    </x:row>
    <x:row r="5" s="39" customFormat="1" ht="31.899999618530273" customHeight="1">
      <x:c r="A5" s="80" t="n">
        <x:v>46055</x:v>
      </x:c>
      <x:c r="B5" s="70" t="inlineStr">
        <x:is>
          <x:t xml:space="preserve">2026-02</x:t>
        </x:is>
      </x:c>
      <x:c r="C5" s="70" t="inlineStr">
        <x:is>
          <x:t xml:space="preserve">Carrossel</x:t>
        </x:is>
      </x:c>
      <x:c r="D5" s="76" t="n">
        <x:v>3</x:v>
      </x:c>
      <x:c r="E5" s="76" t="n">
        <x:v>1</x:v>
      </x:c>
      <x:c r="F5" s="76" t="n">
        <x:v>0</x:v>
      </x:c>
      <x:c r="G5" s="76" t="n">
        <x:v>4</x:v>
      </x:c>
      <x:c r="H5" s="84" t="inlineStr">
        <x:is>
          <x:t xml:space="preserve">https://www.instagram.com/p/DURQK8skuIW</x:t>
        </x:is>
      </x:c>
      <x:c r="I5" s="70" t="inlineStr">
        <x:is>
          <x:t xml:space="preserve">CAMPANHA “QUEM INDICA, FORTALECE”. A força da #ACIRV reside na qualidade das suas conexões. Quando você usa sua influência para trazer um pa</x:t>
        </x:is>
      </x:c>
    </x:row>
    <x:row r="6" s="39" customFormat="1" ht="31.899999618530273" customHeight="1">
      <x:c r="A6" s="80" t="n">
        <x:v>46048</x:v>
      </x:c>
      <x:c r="B6" s="70" t="inlineStr">
        <x:is>
          <x:t xml:space="preserve">2026-01</x:t>
        </x:is>
      </x:c>
      <x:c r="C6" s="70" t="inlineStr">
        <x:is>
          <x:t xml:space="preserve">Carrossel</x:t>
        </x:is>
      </x:c>
      <x:c r="D6" s="76" t="n">
        <x:v>3</x:v>
      </x:c>
      <x:c r="E6" s="76" t="n">
        <x:v>13</x:v>
      </x:c>
      <x:c r="F6" s="76" t="n">
        <x:v>0</x:v>
      </x:c>
      <x:c r="G6" s="76" t="n">
        <x:v>16</x:v>
      </x:c>
      <x:c r="H6" s="84" t="inlineStr">
        <x:is>
          <x:t xml:space="preserve">https://www.instagram.com/p/DT_OYPzEuM-</x:t>
        </x:is>
      </x:c>
      <x:c r="I6" s="70" t="inlineStr">
        <x:is>
          <x:t xml:space="preserve">Antecipar cenários é o que separa quem apenas reage ao mercado de quem lidera o movimento. O ciclo de oficinas deste semestre foi estruturad</x:t>
        </x:is>
      </x:c>
    </x:row>
    <x:row r="7" s="39" customFormat="1" ht="31.899999618530273" customHeight="1">
      <x:c r="A7" s="80" t="n">
        <x:v>46122</x:v>
      </x:c>
      <x:c r="B7" s="70" t="inlineStr">
        <x:is>
          <x:t xml:space="preserve">2026-04</x:t>
        </x:is>
      </x:c>
      <x:c r="C7" s="70" t="inlineStr">
        <x:is>
          <x:t xml:space="preserve">Feed</x:t>
        </x:is>
      </x:c>
      <x:c r="D7" s="76" t="n">
        <x:v>1</x:v>
      </x:c>
      <x:c r="E7" s="76" t="n">
        <x:v>0</x:v>
      </x:c>
      <x:c r="F7" s="76" t="n">
        <x:v>0</x:v>
      </x:c>
      <x:c r="G7" s="76" t="n">
        <x:v>1</x:v>
      </x:c>
      <x:c r="H7" s="84" t="inlineStr">
        <x:is>
          <x:t xml:space="preserve">https://www.instagram.com/p/DW8rNxXDaCA</x:t>
        </x:is>
      </x:c>
      <x:c r="I7" s="70" t="inlineStr">
        <x:is>
          <x:t xml:space="preserve">A falta de alinhamento e a comunicação falha custam caro para qualquer negócio. O mercado atual exige profissionais capazes de tomar decisõe</x:t>
        </x:is>
      </x:c>
    </x:row>
    <x:row r="8" s="39" customFormat="1" ht="31.899999618530273" customHeight="1">
      <x:c r="A8" s="80" t="n">
        <x:v>46122</x:v>
      </x:c>
      <x:c r="B8" s="70" t="inlineStr">
        <x:is>
          <x:t xml:space="preserve">2026-04</x:t>
        </x:is>
      </x:c>
      <x:c r="C8" s="70" t="inlineStr">
        <x:is>
          <x:t xml:space="preserve">Reels</x:t>
        </x:is>
      </x:c>
      <x:c r="D8" s="76" t="n">
        <x:v>44</x:v>
      </x:c>
      <x:c r="E8" s="76" t="n">
        <x:v>0</x:v>
      </x:c>
      <x:c r="F8" s="76" t="n">
        <x:v>2164</x:v>
      </x:c>
      <x:c r="G8" s="76" t="n">
        <x:v>44</x:v>
      </x:c>
      <x:c r="H8" s="84" t="inlineStr">
        <x:is>
          <x:t xml:space="preserve">https://www.instagram.com/p/DW8k1kLDniU</x:t>
        </x:is>
      </x:c>
      <x:c r="I8" s="70" t="inlineStr">
        <x:is>
          <x:t xml:space="preserve">José Carlos Cintra, presidente da ACIRV, destacou o grande sucesso da TecnoShow, reforçando a importância da feira para o fortalecimento do </x:t>
        </x:is>
      </x:c>
    </x:row>
    <x:row r="9" s="39" customFormat="1" ht="31.899999618530273" customHeight="1">
      <x:c r="A9" s="80" t="n">
        <x:v>46121</x:v>
      </x:c>
      <x:c r="B9" s="70" t="inlineStr">
        <x:is>
          <x:t xml:space="preserve">2026-04</x:t>
        </x:is>
      </x:c>
      <x:c r="C9" s="70" t="inlineStr">
        <x:is>
          <x:t xml:space="preserve">Feed</x:t>
        </x:is>
      </x:c>
      <x:c r="D9" s="76" t="n">
        <x:v>1</x:v>
      </x:c>
      <x:c r="E9" s="76" t="n">
        <x:v>0</x:v>
      </x:c>
      <x:c r="F9" s="76" t="n">
        <x:v>0</x:v>
      </x:c>
      <x:c r="G9" s="76" t="n">
        <x:v>1</x:v>
      </x:c>
      <x:c r="H9" s="84" t="inlineStr">
        <x:is>
          <x:t xml:space="preserve">https://www.instagram.com/p/DW6tF2vDZ86</x:t>
        </x:is>
      </x:c>
      <x:c r="I9" s="70" t="inlineStr">
        <x:is>
          <x:t xml:space="preserve">Na Sudoexpo, você se conecta diretamente com quem decide, compra e investe. É relacionamento acelerado. É mercado concentrado. É resultado p</x:t>
        </x:is>
      </x:c>
    </x:row>
    <x:row r="10" s="39" customFormat="1" ht="31.899999618530273" customHeight="1">
      <x:c r="A10" s="80" t="n">
        <x:v>46119</x:v>
      </x:c>
      <x:c r="B10" s="70" t="inlineStr">
        <x:is>
          <x:t xml:space="preserve">2026-04</x:t>
        </x:is>
      </x:c>
      <x:c r="C10" s="70" t="inlineStr">
        <x:is>
          <x:t xml:space="preserve">Carrossel</x:t>
        </x:is>
      </x:c>
      <x:c r="D10" s="76" t="n">
        <x:v>209</x:v>
      </x:c>
      <x:c r="E10" s="76" t="n">
        <x:v>7</x:v>
      </x:c>
      <x:c r="F10" s="76" t="n">
        <x:v>0</x:v>
      </x:c>
      <x:c r="G10" s="76" t="n">
        <x:v>216</x:v>
      </x:c>
      <x:c r="H10" s="84" t="inlineStr">
        <x:is>
          <x:t xml:space="preserve">https://www.instagram.com/p/DW2Nf7dDRTB</x:t>
        </x:is>
      </x:c>
      <x:c r="I10" s="70" t="inlineStr">
        <x:is>
          <x:t xml:space="preserve">Caminhar pelos corredores da maior e mais bem organizada edição da história da TecnoShow evidencia como Rio Verde dita o ritmo do mercado gl</x:t>
        </x:is>
      </x:c>
    </x:row>
    <x:row r="11" s="39" customFormat="1" ht="31.899999618530273" customHeight="1">
      <x:c r="A11" s="80" t="n">
        <x:v>46119</x:v>
      </x:c>
      <x:c r="B11" s="70" t="inlineStr">
        <x:is>
          <x:t xml:space="preserve">2026-04</x:t>
        </x:is>
      </x:c>
      <x:c r="C11" s="70" t="inlineStr">
        <x:is>
          <x:t xml:space="preserve">Feed</x:t>
        </x:is>
      </x:c>
      <x:c r="D11" s="76" t="n">
        <x:v>3</x:v>
      </x:c>
      <x:c r="E11" s="76" t="n">
        <x:v>0</x:v>
      </x:c>
      <x:c r="F11" s="76" t="n">
        <x:v>0</x:v>
      </x:c>
      <x:c r="G11" s="76" t="n">
        <x:v>3</x:v>
      </x:c>
      <x:c r="H11" s="84" t="inlineStr">
        <x:is>
          <x:t xml:space="preserve">https://www.instagram.com/p/DW2KB2CDdd9</x:t>
        </x:is>
      </x:c>
      <x:c r="I11" s="70" t="inlineStr">
        <x:is>
          <x:t xml:space="preserve">Vem aí o Fórum da Indústria da ACIRV. Dia 27 de maio, às 7h30, em Rio Verde. O encontro propõe um olhar direto sobre os desafios do setor, c</x:t>
        </x:is>
      </x:c>
    </x:row>
    <x:row r="12" s="39" customFormat="1" ht="31.899999618530273" customHeight="1">
      <x:c r="A12" s="80" t="n">
        <x:v>46118</x:v>
      </x:c>
      <x:c r="B12" s="70" t="inlineStr">
        <x:is>
          <x:t xml:space="preserve">2026-04</x:t>
        </x:is>
      </x:c>
      <x:c r="C12" s="70" t="inlineStr">
        <x:is>
          <x:t xml:space="preserve">Feed</x:t>
        </x:is>
      </x:c>
      <x:c r="D12" s="76" t="n">
        <x:v>2</x:v>
      </x:c>
      <x:c r="E12" s="76" t="n">
        <x:v>1</x:v>
      </x:c>
      <x:c r="F12" s="76" t="n">
        <x:v>0</x:v>
      </x:c>
      <x:c r="G12" s="76" t="n">
        <x:v>3</x:v>
      </x:c>
      <x:c r="H12" s="84" t="inlineStr">
        <x:is>
          <x:t xml:space="preserve">https://www.instagram.com/p/DWy33TNDcAC</x:t>
        </x:is>
      </x:c>
      <x:c r="I12" s="70" t="inlineStr">
        <x:is>
          <x:t xml:space="preserve">A Sudoexpo foi pensada para gerar: 🤝 Conexões 📈 Oportunidades comerciais 💼 Relacionamentos estratégicos Quer transformar presença em resulta</x:t>
        </x:is>
      </x:c>
    </x:row>
    <x:row r="13" s="39" customFormat="1" ht="31.899999618530273" customHeight="1">
      <x:c r="A13" s="80" t="n">
        <x:v>46115</x:v>
      </x:c>
      <x:c r="B13" s="70" t="inlineStr">
        <x:is>
          <x:t xml:space="preserve">2026-04</x:t>
        </x:is>
      </x:c>
      <x:c r="C13" s="70" t="inlineStr">
        <x:is>
          <x:t xml:space="preserve">Feed</x:t>
        </x:is>
      </x:c>
      <x:c r="D13" s="76" t="n">
        <x:v>3</x:v>
      </x:c>
      <x:c r="E13" s="76" t="n">
        <x:v>2</x:v>
      </x:c>
      <x:c r="F13" s="76" t="n">
        <x:v>0</x:v>
      </x:c>
      <x:c r="G13" s="76" t="n">
        <x:v>5</x:v>
      </x:c>
      <x:c r="H13" s="84" t="inlineStr">
        <x:is>
          <x:t xml:space="preserve">https://www.instagram.com/p/DWrXxAxDcc_</x:t>
        </x:is>
      </x:c>
      <x:c r="I13" s="70" t="inlineStr">
        <x:is>
          <x:t xml:space="preserve">Realizada pela ACIRV, a Sudoexpo representa o compromisso da entidade com o crescimento sustentável de Rio Verde e região. Uma feira constru</x:t>
        </x:is>
      </x:c>
    </x:row>
    <x:row r="14" s="39" customFormat="1" ht="31.899999618530273" customHeight="1">
      <x:c r="A14" s="80" t="n">
        <x:v>46114</x:v>
      </x:c>
      <x:c r="B14" s="70" t="inlineStr">
        <x:is>
          <x:t xml:space="preserve">2026-04</x:t>
        </x:is>
      </x:c>
      <x:c r="C14" s="70" t="inlineStr">
        <x:is>
          <x:t xml:space="preserve">Carrossel</x:t>
        </x:is>
      </x:c>
      <x:c r="D14" s="76" t="n">
        <x:v>30</x:v>
      </x:c>
      <x:c r="E14" s="76" t="n">
        <x:v>0</x:v>
      </x:c>
      <x:c r="F14" s="76" t="n">
        <x:v>0</x:v>
      </x:c>
      <x:c r="G14" s="76" t="n">
        <x:v>30</x:v>
      </x:c>
      <x:c r="H14" s="84" t="inlineStr">
        <x:is>
          <x:t xml:space="preserve">https://www.instagram.com/p/DWpIiXwEWqY</x:t>
        </x:is>
      </x:c>
      <x:c r="I14" s="70" t="inlineStr">
        <x:is>
          <x:t xml:space="preserve">Compreender a infraestrutura que move o nosso setor produtivo é o passo principal para planejar a expansão de qualquer negócio local. Recebe</x:t>
        </x:is>
      </x:c>
    </x:row>
    <x:row r="15" s="39" customFormat="1" ht="31.899999618530273" customHeight="1">
      <x:c r="A15" s="80" t="n">
        <x:v>46114</x:v>
      </x:c>
      <x:c r="B15" s="70" t="inlineStr">
        <x:is>
          <x:t xml:space="preserve">2026-04</x:t>
        </x:is>
      </x:c>
      <x:c r="C15" s="70" t="inlineStr">
        <x:is>
          <x:t xml:space="preserve">Reels</x:t>
        </x:is>
      </x:c>
      <x:c r="D15" s="76" t="n">
        <x:v>21</x:v>
      </x:c>
      <x:c r="E15" s="76" t="n">
        <x:v>1</x:v>
      </x:c>
      <x:c r="F15" s="76" t="n">
        <x:v>722</x:v>
      </x:c>
      <x:c r="G15" s="76" t="n">
        <x:v>22</x:v>
      </x:c>
      <x:c r="H15" s="84" t="inlineStr">
        <x:is>
          <x:t xml:space="preserve">https://www.instagram.com/p/DWo-GnskVys</x:t>
        </x:is>
      </x:c>
      <x:c r="I15" s="70" t="inlineStr">
        <x:is>
          <x:t xml:space="preserve">Sobreviver a 18 anos de mercado exige mais do que um bom produto ou serviço. Exige uma rede de representatividade que defenda o seu setor em</x:t>
        </x:is>
      </x:c>
    </x:row>
    <x:row r="16" s="39" customFormat="1" ht="31.899999618530273" customHeight="1">
      <x:c r="A16" s="80" t="n">
        <x:v>46114</x:v>
      </x:c>
      <x:c r="B16" s="70" t="inlineStr">
        <x:is>
          <x:t xml:space="preserve">2026-04</x:t>
        </x:is>
      </x:c>
      <x:c r="C16" s="70" t="inlineStr">
        <x:is>
          <x:t xml:space="preserve">Carrossel</x:t>
        </x:is>
      </x:c>
      <x:c r="D16" s="76" t="n">
        <x:v>60</x:v>
      </x:c>
      <x:c r="E16" s="76" t="n">
        <x:v>4</x:v>
      </x:c>
      <x:c r="F16" s="76" t="n">
        <x:v>0</x:v>
      </x:c>
      <x:c r="G16" s="76" t="n">
        <x:v>64</x:v>
      </x:c>
      <x:c r="H16" s="84" t="inlineStr">
        <x:is>
          <x:t xml:space="preserve">https://www.instagram.com/p/DWoOpZ9jeZe</x:t>
        </x:is>
      </x:c>
      <x:c r="I16" s="70" t="inlineStr">
        <x:is>
          <x:t xml:space="preserve">O alinhamento entre as principais lideranças dita o ritmo da economia goiana pelos próximos meses. O encontro que definiu a largada da #Expo</x:t>
        </x:is>
      </x:c>
    </x:row>
    <x:row r="17" s="39" customFormat="1" ht="31.899999618530273" customHeight="1">
      <x:c r="A17" s="80" t="n">
        <x:v>46114</x:v>
      </x:c>
      <x:c r="B17" s="70" t="inlineStr">
        <x:is>
          <x:t xml:space="preserve">2026-04</x:t>
        </x:is>
      </x:c>
      <x:c r="C17" s="70" t="inlineStr">
        <x:is>
          <x:t xml:space="preserve">Feed</x:t>
        </x:is>
      </x:c>
      <x:c r="D17" s="76" t="n">
        <x:v>29</x:v>
      </x:c>
      <x:c r="E17" s="76" t="n">
        <x:v>2</x:v>
      </x:c>
      <x:c r="F17" s="76" t="n">
        <x:v>0</x:v>
      </x:c>
      <x:c r="G17" s="76" t="n">
        <x:v>31</x:v>
      </x:c>
      <x:c r="H17" s="84" t="inlineStr">
        <x:is>
          <x:t xml:space="preserve">https://www.instagram.com/p/DWoN4mpjVC_</x:t>
        </x:is>
      </x:c>
      <x:c r="I17" s="70" t="inlineStr">
        <x:is>
          <x:t xml:space="preserve">O desenvolvimento econômico contínuo exige alinhamento direto entre a formação de novos talentos e as demandas do setor produtivo. Este é o </x:t>
        </x:is>
      </x:c>
    </x:row>
    <x:row r="18" s="39" customFormat="1" ht="31.899999618530273" customHeight="1">
      <x:c r="A18" s="80" t="n">
        <x:v>46113</x:v>
      </x:c>
      <x:c r="B18" s="70" t="inlineStr">
        <x:is>
          <x:t xml:space="preserve">2026-04</x:t>
        </x:is>
      </x:c>
      <x:c r="C18" s="70" t="inlineStr">
        <x:is>
          <x:t xml:space="preserve">Reels</x:t>
        </x:is>
      </x:c>
      <x:c r="D18" s="76" t="n">
        <x:v>89</x:v>
      </x:c>
      <x:c r="E18" s="76" t="n">
        <x:v>1</x:v>
      </x:c>
      <x:c r="F18" s="76" t="n">
        <x:v>1476</x:v>
      </x:c>
      <x:c r="G18" s="76" t="n">
        <x:v>90</x:v>
      </x:c>
      <x:c r="H18" s="84" t="inlineStr">
        <x:is>
          <x:t xml:space="preserve">https://www.instagram.com/p/DWmjQ9ekQYr</x:t>
        </x:is>
      </x:c>
      <x:c r="I18" s="70" t="inlineStr">
        <x:is>
          <x:t xml:space="preserve">Quando a insegurança ameaçou o setor produtivo no passado, a articulação empresarial não recuou, mas viabilizou uma obra estrutural de 27 mi</x:t>
        </x:is>
      </x:c>
    </x:row>
    <x:row r="19" s="39" customFormat="1" ht="31.899999618530273" customHeight="1">
      <x:c r="A19" s="80" t="n">
        <x:v>46113</x:v>
      </x:c>
      <x:c r="B19" s="70" t="inlineStr">
        <x:is>
          <x:t xml:space="preserve">2026-04</x:t>
        </x:is>
      </x:c>
      <x:c r="C19" s="70" t="inlineStr">
        <x:is>
          <x:t xml:space="preserve">Carrossel</x:t>
        </x:is>
      </x:c>
      <x:c r="D19" s="76" t="n">
        <x:v>58</x:v>
      </x:c>
      <x:c r="E19" s="76" t="n">
        <x:v>6</x:v>
      </x:c>
      <x:c r="F19" s="76" t="n">
        <x:v>0</x:v>
      </x:c>
      <x:c r="G19" s="76" t="n">
        <x:v>64</x:v>
      </x:c>
      <x:c r="H19" s="84" t="inlineStr">
        <x:is>
          <x:t xml:space="preserve">https://www.instagram.com/p/DWmOuMgDksi</x:t>
        </x:is>
      </x:c>
      <x:c r="I19" s="70" t="inlineStr">
        <x:is>
          <x:t xml:space="preserve">Uma sala cheia e cadernos abertos provam que o empresário de Rio Verde entendeu a regra do jogo: dominar o perfil comportamental da equipe é</x:t>
        </x:is>
      </x:c>
    </x:row>
    <x:row r="20" s="39" customFormat="1" ht="31.899999618530273" customHeight="1">
      <x:c r="A20" s="80" t="n">
        <x:v>46113</x:v>
      </x:c>
      <x:c r="B20" s="70" t="inlineStr">
        <x:is>
          <x:t xml:space="preserve">2026-04</x:t>
        </x:is>
      </x:c>
      <x:c r="C20" s="70" t="inlineStr">
        <x:is>
          <x:t xml:space="preserve">Feed</x:t>
        </x:is>
      </x:c>
      <x:c r="D20" s="76" t="n">
        <x:v>6</x:v>
      </x:c>
      <x:c r="E20" s="76" t="n">
        <x:v>1</x:v>
      </x:c>
      <x:c r="F20" s="76" t="n">
        <x:v>0</x:v>
      </x:c>
      <x:c r="G20" s="76" t="n">
        <x:v>7</x:v>
      </x:c>
      <x:c r="H20" s="84" t="inlineStr">
        <x:is>
          <x:t xml:space="preserve">https://www.instagram.com/p/DWl5DacDTvT</x:t>
        </x:is>
      </x:c>
      <x:c r="I20" s="70" t="inlineStr">
        <x:is>
          <x:t xml:space="preserve">A comercialização dos estandes da Sudoexpo 2026 já começou — e a procura está crescendo. Não deixe sua marca de fora da maior feira multisse</x:t>
        </x:is>
      </x:c>
    </x:row>
    <x:row r="21" s="39" customFormat="1" ht="31.899999618530273" customHeight="1">
      <x:c r="A21" s="80" t="n">
        <x:v>46112</x:v>
      </x:c>
      <x:c r="B21" s="70" t="inlineStr">
        <x:is>
          <x:t xml:space="preserve">2026-03</x:t>
        </x:is>
      </x:c>
      <x:c r="C21" s="70" t="inlineStr">
        <x:is>
          <x:t xml:space="preserve">Carrossel</x:t>
        </x:is>
      </x:c>
      <x:c r="D21" s="76" t="n">
        <x:v>3</x:v>
      </x:c>
      <x:c r="E21" s="76" t="n">
        <x:v>6</x:v>
      </x:c>
      <x:c r="F21" s="76" t="n">
        <x:v>0</x:v>
      </x:c>
      <x:c r="G21" s="76" t="n">
        <x:v>9</x:v>
      </x:c>
      <x:c r="H21" s="84" t="inlineStr">
        <x:is>
          <x:t xml:space="preserve">https://www.instagram.com/p/DWkVLqIDeCA</x:t>
        </x:is>
      </x:c>
      <x:c r="I21" s="70" t="inlineStr">
        <x:is>
          <x:t xml:space="preserve">A 5ª edição do Conecta entregou conversão imediata e alianças sólidas que transformam o cenário econômico local, validando o modelo de rodad</x:t>
        </x:is>
      </x:c>
    </x:row>
    <x:row r="22" s="39" customFormat="1" ht="31.899999618530273" customHeight="1">
      <x:c r="A22" s="80" t="n">
        <x:v>46112</x:v>
      </x:c>
      <x:c r="B22" s="70" t="inlineStr">
        <x:is>
          <x:t xml:space="preserve">2026-03</x:t>
        </x:is>
      </x:c>
      <x:c r="C22" s="70" t="inlineStr">
        <x:is>
          <x:t xml:space="preserve">Carrossel</x:t>
        </x:is>
      </x:c>
      <x:c r="D22" s="76" t="n">
        <x:v>3</x:v>
      </x:c>
      <x:c r="E22" s="76" t="n">
        <x:v>2</x:v>
      </x:c>
      <x:c r="F22" s="76" t="n">
        <x:v>0</x:v>
      </x:c>
      <x:c r="G22" s="76" t="n">
        <x:v>5</x:v>
      </x:c>
      <x:c r="H22" s="84" t="inlineStr">
        <x:is>
          <x:t xml:space="preserve">https://www.instagram.com/p/DWjvjwljgkK</x:t>
        </x:is>
      </x:c>
      <x:c r="I22" s="70" t="inlineStr">
        <x:is>
          <x:t xml:space="preserve">A força de trabalho feminina que sustenta os processos internos da #ACIRV manifesta sua identidade neste painel dedicado à valorização de to</x:t>
        </x:is>
      </x:c>
    </x:row>
    <x:row r="23" s="39" customFormat="1" ht="31.899999618530273" customHeight="1">
      <x:c r="A23" s="80" t="n">
        <x:v>46111</x:v>
      </x:c>
      <x:c r="B23" s="70" t="inlineStr">
        <x:is>
          <x:t xml:space="preserve">2026-03</x:t>
        </x:is>
      </x:c>
      <x:c r="C23" s="70" t="inlineStr">
        <x:is>
          <x:t xml:space="preserve">Reels</x:t>
        </x:is>
      </x:c>
      <x:c r="D23" s="76" t="n">
        <x:v>55</x:v>
      </x:c>
      <x:c r="E23" s="76" t="n">
        <x:v>9</x:v>
      </x:c>
      <x:c r="F23" s="76" t="n">
        <x:v>1274</x:v>
      </x:c>
      <x:c r="G23" s="76" t="n">
        <x:v>64</x:v>
      </x:c>
      <x:c r="H23" s="84" t="inlineStr">
        <x:is>
          <x:t xml:space="preserve">https://www.instagram.com/p/DWhaTH_EW9t</x:t>
        </x:is>
      </x:c>
      <x:c r="I23" s="70" t="inlineStr">
        <x:is>
          <x:t xml:space="preserve">A impossibilidade de crescer sozinho é uma verdade de mercado que exige a construção de pontes sólidas entre lideranças para sustentar o ava</x:t>
        </x:is>
      </x:c>
    </x:row>
    <x:row r="24" s="39" customFormat="1" ht="31.899999618530273" customHeight="1">
      <x:c r="A24" s="80" t="n">
        <x:v>46111</x:v>
      </x:c>
      <x:c r="B24" s="70" t="inlineStr">
        <x:is>
          <x:t xml:space="preserve">2026-03</x:t>
        </x:is>
      </x:c>
      <x:c r="C24" s="70" t="inlineStr">
        <x:is>
          <x:t xml:space="preserve">Carrossel</x:t>
        </x:is>
      </x:c>
      <x:c r="D24" s="76" t="n">
        <x:v>3</x:v>
      </x:c>
      <x:c r="E24" s="76" t="n">
        <x:v>0</x:v>
      </x:c>
      <x:c r="F24" s="76" t="n">
        <x:v>0</x:v>
      </x:c>
      <x:c r="G24" s="76" t="n">
        <x:v>3</x:v>
      </x:c>
      <x:c r="H24" s="84" t="inlineStr">
        <x:is>
          <x:t xml:space="preserve">https://www.instagram.com/p/DWhE9CEji-N</x:t>
        </x:is>
      </x:c>
      <x:c r="I24" s="70" t="inlineStr">
        <x:is>
          <x:t xml:space="preserve">Olhar para a sede de uma entidade com quatro décadas de história exige enxergar além da estrutura física para compreender o motor que impuls</x:t>
        </x:is>
      </x:c>
    </x:row>
    <x:row r="25" s="39" customFormat="1" ht="31.899999618530273" customHeight="1">
      <x:c r="A25" s="80" t="n">
        <x:v>46111</x:v>
      </x:c>
      <x:c r="B25" s="70" t="inlineStr">
        <x:is>
          <x:t xml:space="preserve">2026-03</x:t>
        </x:is>
      </x:c>
      <x:c r="C25" s="70" t="inlineStr">
        <x:is>
          <x:t xml:space="preserve">Feed</x:t>
        </x:is>
      </x:c>
      <x:c r="D25" s="76" t="n">
        <x:v>3</x:v>
      </x:c>
      <x:c r="E25" s="76" t="n">
        <x:v>1</x:v>
      </x:c>
      <x:c r="F25" s="76" t="n">
        <x:v>0</x:v>
      </x:c>
      <x:c r="G25" s="76" t="n">
        <x:v>4</x:v>
      </x:c>
      <x:c r="H25" s="84" t="inlineStr">
        <x:is>
          <x:t xml:space="preserve">https://www.instagram.com/p/DWhEn5YjYjr</x:t>
        </x:is>
      </x:c>
      <x:c r="I25" s="70" t="inlineStr">
        <x:is>
          <x:t xml:space="preserve">A Sudoexpo conecta setores que movem o Centro-Oeste. Garanta sua presença no ambiente onde os negócios se encontram.</x:t>
        </x:is>
      </x:c>
    </x:row>
    <x:row r="26" s="39" customFormat="1" ht="31.899999618530273" customHeight="1">
      <x:c r="A26" s="80" t="n">
        <x:v>46111</x:v>
      </x:c>
      <x:c r="B26" s="70" t="inlineStr">
        <x:is>
          <x:t xml:space="preserve">2026-03</x:t>
        </x:is>
      </x:c>
      <x:c r="C26" s="70" t="inlineStr">
        <x:is>
          <x:t xml:space="preserve">Carrossel</x:t>
        </x:is>
      </x:c>
      <x:c r="D26" s="76" t="n">
        <x:v>3</x:v>
      </x:c>
      <x:c r="E26" s="76" t="n">
        <x:v>2</x:v>
      </x:c>
      <x:c r="F26" s="76" t="n">
        <x:v>0</x:v>
      </x:c>
      <x:c r="G26" s="76" t="n">
        <x:v>5</x:v>
      </x:c>
      <x:c r="H26" s="84" t="inlineStr">
        <x:is>
          <x:t xml:space="preserve">https://www.instagram.com/p/DWguoNcDbVm</x:t>
        </x:is>
      </x:c>
      <x:c r="I26" s="70" t="inlineStr">
        <x:is>
          <x:t xml:space="preserve">O silenciamento de vozes femininas nas mesas de decisão e o desrespeito camuflado de humor custam caro para a produtividade e para o nosso e</x:t>
        </x:is>
      </x:c>
    </x:row>
    <x:row r="27" s="39" customFormat="1" ht="31.899999618530273" customHeight="1">
      <x:c r="A27" s="80" t="n">
        <x:v>46108</x:v>
      </x:c>
      <x:c r="B27" s="70" t="inlineStr">
        <x:is>
          <x:t xml:space="preserve">2026-03</x:t>
        </x:is>
      </x:c>
      <x:c r="C27" s="70" t="inlineStr">
        <x:is>
          <x:t xml:space="preserve">Carrossel</x:t>
        </x:is>
      </x:c>
      <x:c r="D27" s="76" t="n">
        <x:v>3</x:v>
      </x:c>
      <x:c r="E27" s="76" t="n">
        <x:v>3</x:v>
      </x:c>
      <x:c r="F27" s="76" t="n">
        <x:v>0</x:v>
      </x:c>
      <x:c r="G27" s="76" t="n">
        <x:v>6</x:v>
      </x:c>
      <x:c r="H27" s="84" t="inlineStr">
        <x:is>
          <x:t xml:space="preserve">https://www.instagram.com/p/DWaARmBDfrx</x:t>
        </x:is>
      </x:c>
      <x:c r="I27" s="70" t="inlineStr">
        <x:is>
          <x:t xml:space="preserve">O auditório lotado para debater inteligência emocional prova que o equilíbrio interno é o alicerce indispensável para a produtividade e a sa</x:t>
        </x:is>
      </x:c>
    </x:row>
    <x:row r="28" s="39" customFormat="1" ht="31.899999618530273" customHeight="1">
      <x:c r="A28" s="80" t="n">
        <x:v>46108</x:v>
      </x:c>
      <x:c r="B28" s="70" t="inlineStr">
        <x:is>
          <x:t xml:space="preserve">2026-03</x:t>
        </x:is>
      </x:c>
      <x:c r="C28" s="70" t="inlineStr">
        <x:is>
          <x:t xml:space="preserve">Feed</x:t>
        </x:is>
      </x:c>
      <x:c r="D28" s="76" t="n">
        <x:v>8</x:v>
      </x:c>
      <x:c r="E28" s="76" t="n">
        <x:v>0</x:v>
      </x:c>
      <x:c r="F28" s="76" t="n">
        <x:v>0</x:v>
      </x:c>
      <x:c r="G28" s="76" t="n">
        <x:v>8</x:v>
      </x:c>
      <x:c r="H28" s="84" t="inlineStr">
        <x:is>
          <x:t xml:space="preserve">https://www.instagram.com/p/DWY9zIQjToK</x:t>
        </x:is>
      </x:c>
      <x:c r="I28" s="70" t="inlineStr">
        <x:is>
          <x:t xml:space="preserve">Rio Verde é um dos principais polos econômicos do Centro-Oeste. A Sudoexpo é o reflexo dessa força produtiva, reunindo empresas, instituiçõe</x:t>
        </x:is>
      </x:c>
    </x:row>
    <x:row r="29" s="39" customFormat="1" ht="31.899999618530273" customHeight="1">
      <x:c r="A29" s="80" t="n">
        <x:v>46107</x:v>
      </x:c>
      <x:c r="B29" s="70" t="inlineStr">
        <x:is>
          <x:t xml:space="preserve">2026-03</x:t>
        </x:is>
      </x:c>
      <x:c r="C29" s="70" t="inlineStr">
        <x:is>
          <x:t xml:space="preserve">Carrossel</x:t>
        </x:is>
      </x:c>
      <x:c r="D29" s="76" t="n">
        <x:v>11</x:v>
      </x:c>
      <x:c r="E29" s="76" t="n">
        <x:v>1</x:v>
      </x:c>
      <x:c r="F29" s="76" t="n">
        <x:v>0</x:v>
      </x:c>
      <x:c r="G29" s="76" t="n">
        <x:v>12</x:v>
      </x:c>
      <x:c r="H29" s="84" t="inlineStr">
        <x:is>
          <x:t xml:space="preserve">https://www.instagram.com/p/DWW3gp_jj47</x:t>
        </x:is>
      </x:c>
      <x:c r="I29" s="70" t="inlineStr">
        <x:is>
          <x:t xml:space="preserve">Inscrições encerradas em velocidade recorde demonstra que o empresariado de #RioVerde prioriza decisões baseadas em dados e ferramentas prát</x:t>
        </x:is>
      </x:c>
    </x:row>
    <x:row r="30" s="39" customFormat="1" ht="31.899999618530273" customHeight="1">
      <x:c r="A30" s="80" t="n">
        <x:v>46105</x:v>
      </x:c>
      <x:c r="B30" s="70" t="inlineStr">
        <x:is>
          <x:t xml:space="preserve">2026-03</x:t>
        </x:is>
      </x:c>
      <x:c r="C30" s="70" t="inlineStr">
        <x:is>
          <x:t xml:space="preserve">Feed</x:t>
        </x:is>
      </x:c>
      <x:c r="D30" s="76" t="n">
        <x:v>9</x:v>
      </x:c>
      <x:c r="E30" s="76" t="n">
        <x:v>0</x:v>
      </x:c>
      <x:c r="F30" s="76" t="n">
        <x:v>0</x:v>
      </x:c>
      <x:c r="G30" s="76" t="n">
        <x:v>9</x:v>
      </x:c>
      <x:c r="H30" s="84" t="inlineStr">
        <x:is>
          <x:t xml:space="preserve">https://www.instagram.com/p/DWSCAbHj0yF</x:t>
        </x:is>
      </x:c>
      <x:c r="I30" s="70" t="inlineStr">
        <x:is>
          <x:t xml:space="preserve">A construção de alianças estratégicas é o alicerce mais robusto para quem busca escala e sustentabilidade no mercado de Rio Verde, e em apen</x:t>
        </x:is>
      </x:c>
    </x:row>
    <x:row r="31" s="39" customFormat="1" ht="31.899999618530273" customHeight="1">
      <x:c r="A31" s="80" t="n">
        <x:v>46105</x:v>
      </x:c>
      <x:c r="B31" s="70" t="inlineStr">
        <x:is>
          <x:t xml:space="preserve">2026-03</x:t>
        </x:is>
      </x:c>
      <x:c r="C31" s="70" t="inlineStr">
        <x:is>
          <x:t xml:space="preserve">Carrossel</x:t>
        </x:is>
      </x:c>
      <x:c r="D31" s="76" t="n">
        <x:v>3</x:v>
      </x:c>
      <x:c r="E31" s="76" t="n">
        <x:v>2</x:v>
      </x:c>
      <x:c r="F31" s="76" t="n">
        <x:v>0</x:v>
      </x:c>
      <x:c r="G31" s="76" t="n">
        <x:v>5</x:v>
      </x:c>
      <x:c r="H31" s="84" t="inlineStr">
        <x:is>
          <x:t xml:space="preserve">https://www.instagram.com/p/DWSAYY1DwhP</x:t>
        </x:is>
      </x:c>
      <x:c r="I31" s="70" t="inlineStr">
        <x:is>
          <x:t xml:space="preserve">A solidez de uma empresa não depende apenas do capital, mas da qualidade das ferramentas e do ecossistema técnico que sustenta suas decisões</x:t>
        </x:is>
      </x:c>
    </x:row>
    <x:row r="32" s="39" customFormat="1" ht="31.899999618530273" customHeight="1">
      <x:c r="A32" s="80" t="n">
        <x:v>46105</x:v>
      </x:c>
      <x:c r="B32" s="70" t="inlineStr">
        <x:is>
          <x:t xml:space="preserve">2026-03</x:t>
        </x:is>
      </x:c>
      <x:c r="C32" s="70" t="inlineStr">
        <x:is>
          <x:t xml:space="preserve">Feed</x:t>
        </x:is>
      </x:c>
      <x:c r="D32" s="76" t="n">
        <x:v>3</x:v>
      </x:c>
      <x:c r="E32" s="76" t="n">
        <x:v>0</x:v>
      </x:c>
      <x:c r="F32" s="76" t="n">
        <x:v>0</x:v>
      </x:c>
      <x:c r="G32" s="76" t="n">
        <x:v>3</x:v>
      </x:c>
      <x:c r="H32" s="84" t="inlineStr">
        <x:is>
          <x:t xml:space="preserve">https://www.instagram.com/p/DWRnxuzjb2E</x:t>
        </x:is>
      </x:c>
      <x:c r="I32" s="70" t="inlineStr">
        <x:is>
          <x:t xml:space="preserve">A Sudoexpo 2026 é o ambiente ideal para: ✔ Lançamentos ✔ Demonstrações ✔ Prospecção ✔ Fortalecimento de marca Garanta seu estande.</x:t>
        </x:is>
      </x:c>
    </x:row>
    <x:row r="33" s="39" customFormat="1" ht="31.899999618530273" customHeight="1">
      <x:c r="A33" s="80" t="n">
        <x:v>46105</x:v>
      </x:c>
      <x:c r="B33" s="70" t="inlineStr">
        <x:is>
          <x:t xml:space="preserve">2026-03</x:t>
        </x:is>
      </x:c>
      <x:c r="C33" s="70" t="inlineStr">
        <x:is>
          <x:t xml:space="preserve">Carrossel</x:t>
        </x:is>
      </x:c>
      <x:c r="D33" s="76" t="n">
        <x:v>3</x:v>
      </x:c>
      <x:c r="E33" s="76" t="n">
        <x:v>3</x:v>
      </x:c>
      <x:c r="F33" s="76" t="n">
        <x:v>0</x:v>
      </x:c>
      <x:c r="G33" s="76" t="n">
        <x:v>6</x:v>
      </x:c>
      <x:c r="H33" s="84" t="inlineStr">
        <x:is>
          <x:t xml:space="preserve">https://www.instagram.com/p/DWRFjLJjrRf</x:t>
        </x:is>
      </x:c>
      <x:c r="I33" s="70" t="inlineStr">
        <x:is>
          <x:t xml:space="preserve">Na 2ª edição do Jantar de Negócios, mais de 100 mulheres estiveram presentes, compartilhando experiências, fortalecendo conexões e vivendo u</x:t>
        </x:is>
      </x:c>
    </x:row>
    <x:row r="34" s="39" customFormat="1" ht="31.899999618530273" customHeight="1">
      <x:c r="A34" s="80" t="n">
        <x:v>46104</x:v>
      </x:c>
      <x:c r="B34" s="70" t="inlineStr">
        <x:is>
          <x:t xml:space="preserve">2026-03</x:t>
        </x:is>
      </x:c>
      <x:c r="C34" s="70" t="inlineStr">
        <x:is>
          <x:t xml:space="preserve">Reels</x:t>
        </x:is>
      </x:c>
      <x:c r="D34" s="76" t="n">
        <x:v>44</x:v>
      </x:c>
      <x:c r="E34" s="76" t="n">
        <x:v>10</x:v>
      </x:c>
      <x:c r="F34" s="76" t="n">
        <x:v>1376</x:v>
      </x:c>
      <x:c r="G34" s="76" t="n">
        <x:v>54</x:v>
      </x:c>
      <x:c r="H34" s="84" t="inlineStr">
        <x:is>
          <x:t xml:space="preserve">https://www.instagram.com/p/DWPb0b4D7Ml</x:t>
        </x:is>
      </x:c>
      <x:c r="I34" s="70" t="inlineStr">
        <x:is>
          <x:t xml:space="preserve">A maturidade de um mercado se mede pela capacidade dos seus líderes de sentarem à mesma mesa para forjar alianças que movimentam a economia.</x:t>
        </x:is>
      </x:c>
    </x:row>
    <x:row r="35" s="39" customFormat="1" ht="31.899999618530273" customHeight="1">
      <x:c r="A35" s="80" t="n">
        <x:v>46101</x:v>
      </x:c>
      <x:c r="B35" s="70" t="inlineStr">
        <x:is>
          <x:t xml:space="preserve">2026-03</x:t>
        </x:is>
      </x:c>
      <x:c r="C35" s="70" t="inlineStr">
        <x:is>
          <x:t xml:space="preserve">Carrossel</x:t>
        </x:is>
      </x:c>
      <x:c r="D35" s="76" t="n">
        <x:v>3</x:v>
      </x:c>
      <x:c r="E35" s="76" t="n">
        <x:v>11</x:v>
      </x:c>
      <x:c r="F35" s="76" t="n">
        <x:v>0</x:v>
      </x:c>
      <x:c r="G35" s="76" t="n">
        <x:v>14</x:v>
      </x:c>
      <x:c r="H35" s="84" t="inlineStr">
        <x:is>
          <x:t xml:space="preserve">https://www.instagram.com/p/DWHw5HaDxqI</x:t>
        </x:is>
      </x:c>
      <x:c r="I35" s="70" t="inlineStr">
        <x:is>
          <x:t xml:space="preserve">A meta projetada para 80 lideranças foi superada pelo número impressionante de mais de 100 empresárias conectadas. O impacto do evento trans</x:t>
        </x:is>
      </x:c>
    </x:row>
    <x:row r="36" s="39" customFormat="1" ht="31.899999618530273" customHeight="1">
      <x:c r="A36" s="80" t="n">
        <x:v>46101</x:v>
      </x:c>
      <x:c r="B36" s="70" t="inlineStr">
        <x:is>
          <x:t xml:space="preserve">2026-03</x:t>
        </x:is>
      </x:c>
      <x:c r="C36" s="70" t="inlineStr">
        <x:is>
          <x:t xml:space="preserve">Feed</x:t>
        </x:is>
      </x:c>
      <x:c r="D36" s="76" t="n">
        <x:v>12</x:v>
      </x:c>
      <x:c r="E36" s="76" t="n">
        <x:v>1</x:v>
      </x:c>
      <x:c r="F36" s="76" t="n">
        <x:v>0</x:v>
      </x:c>
      <x:c r="G36" s="76" t="n">
        <x:v>13</x:v>
      </x:c>
      <x:c r="H36" s="84" t="inlineStr">
        <x:is>
          <x:t xml:space="preserve">https://www.instagram.com/p/DWG8Pe8DW16</x:t>
        </x:is>
      </x:c>
      <x:c r="I36" s="70" t="inlineStr">
        <x:is>
          <x:t xml:space="preserve">Liderança de alta performance exige a capacidade técnica de decifrar padrões humanos para alocar talentos com precisão e garantir uma equipe</x:t>
        </x:is>
      </x:c>
    </x:row>
    <x:row r="37" s="39" customFormat="1" ht="31.899999618530273" customHeight="1">
      <x:c r="A37" s="80" t="n">
        <x:v>46100</x:v>
      </x:c>
      <x:c r="B37" s="70" t="inlineStr">
        <x:is>
          <x:t xml:space="preserve">2026-03</x:t>
        </x:is>
      </x:c>
      <x:c r="C37" s="70" t="inlineStr">
        <x:is>
          <x:t xml:space="preserve">Carrossel</x:t>
        </x:is>
      </x:c>
      <x:c r="D37" s="76" t="n">
        <x:v>12</x:v>
      </x:c>
      <x:c r="E37" s="76" t="n">
        <x:v>2</x:v>
      </x:c>
      <x:c r="F37" s="76" t="n">
        <x:v>0</x:v>
      </x:c>
      <x:c r="G37" s="76" t="n">
        <x:v>14</x:v>
      </x:c>
      <x:c r="H37" s="84" t="inlineStr">
        <x:is>
          <x:t xml:space="preserve">https://www.instagram.com/p/DWFHcLBjzt_</x:t>
        </x:is>
      </x:c>
      <x:c r="I37" s="70" t="inlineStr">
        <x:is>
          <x:t xml:space="preserve">A consolidação do #CONECTA exige parceiros que entendem o peso de investir no mercado local. O fomento ao networking do Conecta ganha densid</x:t>
        </x:is>
      </x:c>
    </x:row>
    <x:row r="38" s="39" customFormat="1" ht="31.899999618530273" customHeight="1">
      <x:c r="A38" s="80" t="n">
        <x:v>46100</x:v>
      </x:c>
      <x:c r="B38" s="70" t="inlineStr">
        <x:is>
          <x:t xml:space="preserve">2026-03</x:t>
        </x:is>
      </x:c>
      <x:c r="C38" s="70" t="inlineStr">
        <x:is>
          <x:t xml:space="preserve">Carrossel</x:t>
        </x:is>
      </x:c>
      <x:c r="D38" s="76" t="n">
        <x:v>3</x:v>
      </x:c>
      <x:c r="E38" s="76" t="n">
        <x:v>0</x:v>
      </x:c>
      <x:c r="F38" s="76" t="n">
        <x:v>0</x:v>
      </x:c>
      <x:c r="G38" s="76" t="n">
        <x:v>3</x:v>
      </x:c>
      <x:c r="H38" s="84" t="inlineStr">
        <x:is>
          <x:t xml:space="preserve">https://www.instagram.com/p/DWFGHKDj8qt</x:t>
        </x:is>
      </x:c>
      <x:c r="I38" s="70" t="inlineStr">
        <x:is>
          <x:t xml:space="preserve">Um faturamento explosivo mascara a desorganização interna apenas até o momento em que a base cede sob o peso da própria demanda. A ilusão da</x:t>
        </x:is>
      </x:c>
    </x:row>
    <x:row r="39" s="39" customFormat="1" ht="31.899999618530273" customHeight="1">
      <x:c r="A39" s="80" t="n">
        <x:v>46099</x:v>
      </x:c>
      <x:c r="B39" s="70" t="inlineStr">
        <x:is>
          <x:t xml:space="preserve">2026-03</x:t>
        </x:is>
      </x:c>
      <x:c r="C39" s="70" t="inlineStr">
        <x:is>
          <x:t xml:space="preserve">Carrossel</x:t>
        </x:is>
      </x:c>
      <x:c r="D39" s="76" t="n">
        <x:v>3</x:v>
      </x:c>
      <x:c r="E39" s="76" t="n">
        <x:v>1</x:v>
      </x:c>
      <x:c r="F39" s="76" t="n">
        <x:v>0</x:v>
      </x:c>
      <x:c r="G39" s="76" t="n">
        <x:v>4</x:v>
      </x:c>
      <x:c r="H39" s="84" t="inlineStr">
        <x:is>
          <x:t xml:space="preserve">https://www.instagram.com/p/DWCWot9kSsg</x:t>
        </x:is>
      </x:c>
      <x:c r="I39" s="70" t="inlineStr">
        <x:is>
          <x:t xml:space="preserve">A consolidação da Sudoexpo 2026 como pilar econômico regional depende da construção de alianças sólidas e estratégicas entre a governança pú</x:t>
        </x:is>
      </x:c>
    </x:row>
    <x:row r="40" s="39" customFormat="1" ht="31.899999618530273" customHeight="1">
      <x:c r="A40" s="80" t="n">
        <x:v>46099</x:v>
      </x:c>
      <x:c r="B40" s="70" t="inlineStr">
        <x:is>
          <x:t xml:space="preserve">2026-03</x:t>
        </x:is>
      </x:c>
      <x:c r="C40" s="70" t="inlineStr">
        <x:is>
          <x:t xml:space="preserve">Feed</x:t>
        </x:is>
      </x:c>
      <x:c r="D40" s="76" t="n">
        <x:v>3</x:v>
      </x:c>
      <x:c r="E40" s="76" t="n">
        <x:v>1</x:v>
      </x:c>
      <x:c r="F40" s="76" t="n">
        <x:v>0</x:v>
      </x:c>
      <x:c r="G40" s="76" t="n">
        <x:v>4</x:v>
      </x:c>
      <x:c r="H40" s="84" t="inlineStr">
        <x:is>
          <x:t xml:space="preserve">https://www.instagram.com/p/DWCIY_RDc_6</x:t>
        </x:is>
      </x:c>
      <x:c r="I40" s="70" t="inlineStr">
        <x:is>
          <x:t xml:space="preserve">A Sudoexpo nasce de um propósito claro: impulsionar o desenvolvimento do Sudoeste Goiano por meio de conexões que geram resultados. 📍 Estaci</x:t>
        </x:is>
      </x:c>
    </x:row>
    <x:row r="41" s="39" customFormat="1" ht="31.899999618530273" customHeight="1">
      <x:c r="A41" s="80" t="n">
        <x:v>46099</x:v>
      </x:c>
      <x:c r="B41" s="70" t="inlineStr">
        <x:is>
          <x:t xml:space="preserve">2026-03</x:t>
        </x:is>
      </x:c>
      <x:c r="C41" s="70" t="inlineStr">
        <x:is>
          <x:t xml:space="preserve">Carrossel</x:t>
        </x:is>
      </x:c>
      <x:c r="D41" s="76" t="n">
        <x:v>3</x:v>
      </x:c>
      <x:c r="E41" s="76" t="n">
        <x:v>7</x:v>
      </x:c>
      <x:c r="F41" s="76" t="n">
        <x:v>0</x:v>
      </x:c>
      <x:c r="G41" s="76" t="n">
        <x:v>10</x:v>
      </x:c>
      <x:c r="H41" s="84" t="inlineStr">
        <x:is>
          <x:t xml:space="preserve">https://www.instagram.com/p/DWBzpLtDWc4</x:t>
        </x:is>
      </x:c>
      <x:c r="I41" s="70" t="inlineStr">
        <x:is>
          <x:t xml:space="preserve">O domínio da gestão financeira é o alicerce fundamental para que o empreendedor de Rio Verde deixe de apenas gerenciar o cotidiano e passe a</x:t>
        </x:is>
      </x:c>
    </x:row>
    <x:row r="42" s="39" customFormat="1" ht="31.899999618530273" customHeight="1">
      <x:c r="A42" s="80" t="n">
        <x:v>46099</x:v>
      </x:c>
      <x:c r="B42" s="70" t="inlineStr">
        <x:is>
          <x:t xml:space="preserve">2026-03</x:t>
        </x:is>
      </x:c>
      <x:c r="C42" s="70" t="inlineStr">
        <x:is>
          <x:t xml:space="preserve">Carrossel</x:t>
        </x:is>
      </x:c>
      <x:c r="D42" s="76" t="n">
        <x:v>3</x:v>
      </x:c>
      <x:c r="E42" s="76" t="n">
        <x:v>3</x:v>
      </x:c>
      <x:c r="F42" s="76" t="n">
        <x:v>0</x:v>
      </x:c>
      <x:c r="G42" s="76" t="n">
        <x:v>6</x:v>
      </x:c>
      <x:c r="H42" s="84" t="inlineStr">
        <x:is>
          <x:t xml:space="preserve">https://www.instagram.com/p/DWBx2GGDseo</x:t>
        </x:is>
      </x:c>
      <x:c r="I42" s="70" t="inlineStr">
        <x:is>
          <x:t xml:space="preserve">JANTAR DE NEGÓCIOS DAS MULHERES Nem todo negócio precisa de mais tempo. Às vezes, precisa de decisão. E mulheres sabem disso. Se você sente </x:t>
        </x:is>
      </x:c>
    </x:row>
    <x:row r="43" s="39" customFormat="1" ht="31.899999618530273" customHeight="1">
      <x:c r="A43" s="80" t="n">
        <x:v>46099</x:v>
      </x:c>
      <x:c r="B43" s="70" t="inlineStr">
        <x:is>
          <x:t xml:space="preserve">2026-03</x:t>
        </x:is>
      </x:c>
      <x:c r="C43" s="70" t="inlineStr">
        <x:is>
          <x:t xml:space="preserve">Feed</x:t>
        </x:is>
      </x:c>
      <x:c r="D43" s="76" t="n">
        <x:v>3</x:v>
      </x:c>
      <x:c r="E43" s="76" t="n">
        <x:v>17</x:v>
      </x:c>
      <x:c r="F43" s="76" t="n">
        <x:v>0</x:v>
      </x:c>
      <x:c r="G43" s="76" t="n">
        <x:v>20</x:v>
      </x:c>
      <x:c r="H43" s="84" t="inlineStr">
        <x:is>
          <x:t xml:space="preserve">https://www.instagram.com/p/DWBwp61jTHK</x:t>
        </x:is>
      </x:c>
      <x:c r="I43" s="70" t="inlineStr">
        <x:is>
          <x:t xml:space="preserve">Liderança produtiva exige um alicerce emocional robusto, capaz de sustentar decisões estratégicas sem o esgotamento da própria essência. No </x:t>
        </x:is>
      </x:c>
    </x:row>
    <x:row r="44" s="39" customFormat="1" ht="31.899999618530273" customHeight="1">
      <x:c r="A44" s="80" t="n">
        <x:v>46098</x:v>
      </x:c>
      <x:c r="B44" s="70" t="inlineStr">
        <x:is>
          <x:t xml:space="preserve">2026-03</x:t>
        </x:is>
      </x:c>
      <x:c r="C44" s="70" t="inlineStr">
        <x:is>
          <x:t xml:space="preserve">Carrossel</x:t>
        </x:is>
      </x:c>
      <x:c r="D44" s="76" t="n">
        <x:v>3</x:v>
      </x:c>
      <x:c r="E44" s="76" t="n">
        <x:v>1</x:v>
      </x:c>
      <x:c r="F44" s="76" t="n">
        <x:v>0</x:v>
      </x:c>
      <x:c r="G44" s="76" t="n">
        <x:v>4</x:v>
      </x:c>
      <x:c r="H44" s="84" t="inlineStr">
        <x:is>
          <x:t xml:space="preserve">https://www.instagram.com/p/DV_stJGDpRE</x:t>
        </x:is>
      </x:c>
      <x:c r="I44" s="70" t="inlineStr">
        <x:is>
          <x:t xml:space="preserve">A força do setor produtivo ganha escala quando o empresariado e o poder público municipal alinham estratégias para destravar gargalos logíst</x:t>
        </x:is>
      </x:c>
    </x:row>
    <x:row r="45" s="39" customFormat="1" ht="31.899999618530273" customHeight="1">
      <x:c r="A45" s="80" t="n">
        <x:v>46097</x:v>
      </x:c>
      <x:c r="B45" s="70" t="inlineStr">
        <x:is>
          <x:t xml:space="preserve">2026-03</x:t>
        </x:is>
      </x:c>
      <x:c r="C45" s="70" t="inlineStr">
        <x:is>
          <x:t xml:space="preserve">Carrossel</x:t>
        </x:is>
      </x:c>
      <x:c r="D45" s="76" t="n">
        <x:v>3</x:v>
      </x:c>
      <x:c r="E45" s="76" t="n">
        <x:v>1</x:v>
      </x:c>
      <x:c r="F45" s="76" t="n">
        <x:v>0</x:v>
      </x:c>
      <x:c r="G45" s="76" t="n">
        <x:v>4</x:v>
      </x:c>
      <x:c r="H45" s="84" t="inlineStr">
        <x:is>
          <x:t xml:space="preserve">https://www.instagram.com/p/DV9mHsIjeVZ</x:t>
        </x:is>
      </x:c>
      <x:c r="I45" s="70" t="inlineStr">
        <x:is>
          <x:t xml:space="preserve">Em um mercado que muda rápido, criar conexões é essencial para crescer. O #ConectaACIRV promove encontros que geram negócios e parcerias. O </x:t>
        </x:is>
      </x:c>
    </x:row>
    <x:row r="46" s="39" customFormat="1" ht="31.899999618530273" customHeight="1">
      <x:c r="A46" s="80" t="n">
        <x:v>46097</x:v>
      </x:c>
      <x:c r="B46" s="70" t="inlineStr">
        <x:is>
          <x:t xml:space="preserve">2026-03</x:t>
        </x:is>
      </x:c>
      <x:c r="C46" s="70" t="inlineStr">
        <x:is>
          <x:t xml:space="preserve">Reels</x:t>
        </x:is>
      </x:c>
      <x:c r="D46" s="76" t="n">
        <x:v>3</x:v>
      </x:c>
      <x:c r="E46" s="76" t="n">
        <x:v>4</x:v>
      </x:c>
      <x:c r="F46" s="76" t="n">
        <x:v>938</x:v>
      </x:c>
      <x:c r="G46" s="76" t="n">
        <x:v>7</x:v>
      </x:c>
      <x:c r="H46" s="84" t="inlineStr">
        <x:is>
          <x:t xml:space="preserve">https://www.instagram.com/p/DV9RHT8kWnl</x:t>
        </x:is>
      </x:c>
      <x:c r="I46" s="70" t="inlineStr">
        <x:is>
          <x:t xml:space="preserve">Mais de 90% dos espaços da Sudoexpo 2026 já estão ocupados. Com apenas 10% restantes, quem quiser participar das principais negociações da r</x:t>
        </x:is>
      </x:c>
    </x:row>
    <x:row r="47" s="39" customFormat="1" ht="31.899999618530273" customHeight="1">
      <x:c r="A47" s="80" t="n">
        <x:v>46094</x:v>
      </x:c>
      <x:c r="B47" s="70" t="inlineStr">
        <x:is>
          <x:t xml:space="preserve">2026-03</x:t>
        </x:is>
      </x:c>
      <x:c r="C47" s="70" t="inlineStr">
        <x:is>
          <x:t xml:space="preserve">Feed</x:t>
        </x:is>
      </x:c>
      <x:c r="D47" s="76" t="n">
        <x:v>3</x:v>
      </x:c>
      <x:c r="E47" s="76" t="n">
        <x:v>3</x:v>
      </x:c>
      <x:c r="F47" s="76" t="n">
        <x:v>0</x:v>
      </x:c>
      <x:c r="G47" s="76" t="n">
        <x:v>6</x:v>
      </x:c>
      <x:c r="H47" s="84" t="inlineStr">
        <x:is>
          <x:t xml:space="preserve">https://www.instagram.com/p/DV1pI4EEXFk</x:t>
        </x:is>
      </x:c>
      <x:c r="I47" s="70" t="inlineStr">
        <x:is>
          <x:t xml:space="preserve">O que leva um cumprimento casual virar um contrato assinado é a estrutura de um pitch de impacto, competência que o administrador e palestra</x:t>
        </x:is>
      </x:c>
    </x:row>
    <x:row r="48" s="39" customFormat="1" ht="31.899999618530273" customHeight="1">
      <x:c r="A48" s="80" t="n">
        <x:v>46094</x:v>
      </x:c>
      <x:c r="B48" s="70" t="inlineStr">
        <x:is>
          <x:t xml:space="preserve">2026-03</x:t>
        </x:is>
      </x:c>
      <x:c r="C48" s="70" t="inlineStr">
        <x:is>
          <x:t xml:space="preserve">Feed</x:t>
        </x:is>
      </x:c>
      <x:c r="D48" s="76" t="n">
        <x:v>3</x:v>
      </x:c>
      <x:c r="E48" s="76" t="n">
        <x:v>0</x:v>
      </x:c>
      <x:c r="F48" s="76" t="n">
        <x:v>0</x:v>
      </x:c>
      <x:c r="G48" s="76" t="n">
        <x:v>3</x:v>
      </x:c>
      <x:c r="H48" s="84" t="inlineStr">
        <x:is>
          <x:t xml:space="preserve">https://www.instagram.com/p/DV1oTltEZyD</x:t>
        </x:is>
      </x:c>
      <x:c r="I48" s="70" t="inlineStr">
        <x:is>
          <x:t xml:space="preserve">Termos ganhado espaço nas rádios locais para democratizar informações sobre o Conecta 5° ed. prova que o networking é o ativo mais valioso d</x:t>
        </x:is>
      </x:c>
    </x:row>
    <x:row r="49" s="39" customFormat="1" ht="31.899999618530273" customHeight="1">
      <x:c r="A49" s="80" t="n">
        <x:v>46094</x:v>
      </x:c>
      <x:c r="B49" s="70" t="inlineStr">
        <x:is>
          <x:t xml:space="preserve">2026-03</x:t>
        </x:is>
      </x:c>
      <x:c r="C49" s="70" t="inlineStr">
        <x:is>
          <x:t xml:space="preserve">Reels</x:t>
        </x:is>
      </x:c>
      <x:c r="D49" s="76" t="n">
        <x:v>3</x:v>
      </x:c>
      <x:c r="E49" s="76" t="n">
        <x:v>1</x:v>
      </x:c>
      <x:c r="F49" s="76" t="n">
        <x:v>1119</x:v>
      </x:c>
      <x:c r="G49" s="76" t="n">
        <x:v>4</x:v>
      </x:c>
      <x:c r="H49" s="84" t="inlineStr">
        <x:is>
          <x:t xml:space="preserve">https://www.instagram.com/p/DV1a-y3jhLl</x:t>
        </x:is>
      </x:c>
      <x:c r="I49" s="70" t="inlineStr">
        <x:is>
          <x:t xml:space="preserve">A expansão comercial ganha força imediata quando lideranças femininas se reúnem para estruturar alianças estratégicas e acelerar o fluxo de </x:t>
        </x:is>
      </x:c>
    </x:row>
    <x:row r="50" s="39" customFormat="1" ht="31.899999618530273" customHeight="1">
      <x:c r="A50" s="80" t="n">
        <x:v>46093</x:v>
      </x:c>
      <x:c r="B50" s="70" t="inlineStr">
        <x:is>
          <x:t xml:space="preserve">2026-03</x:t>
        </x:is>
      </x:c>
      <x:c r="C50" s="70" t="inlineStr">
        <x:is>
          <x:t xml:space="preserve">Carrossel</x:t>
        </x:is>
      </x:c>
      <x:c r="D50" s="76" t="n">
        <x:v>3</x:v>
      </x:c>
      <x:c r="E50" s="76" t="n">
        <x:v>0</x:v>
      </x:c>
      <x:c r="F50" s="76" t="n">
        <x:v>0</x:v>
      </x:c>
      <x:c r="G50" s="76" t="n">
        <x:v>3</x:v>
      </x:c>
      <x:c r="H50" s="84" t="inlineStr">
        <x:is>
          <x:t xml:space="preserve">https://www.instagram.com/p/DVzHQAREfDs</x:t>
        </x:is>
      </x:c>
      <x:c r="I50" s="70" t="inlineStr">
        <x:is>
          <x:t xml:space="preserve">O avanço do nosso mercado acelera quando o setor produtivo e o poder público compartilham a mesma visão de futuro. Apresentar o projeto da #</x:t>
        </x:is>
      </x:c>
    </x:row>
    <x:row r="51" s="39" customFormat="1" ht="31.899999618530273" customHeight="1">
      <x:c r="A51" s="80" t="n">
        <x:v>46093</x:v>
      </x:c>
      <x:c r="B51" s="70" t="inlineStr">
        <x:is>
          <x:t xml:space="preserve">2026-03</x:t>
        </x:is>
      </x:c>
      <x:c r="C51" s="70" t="inlineStr">
        <x:is>
          <x:t xml:space="preserve">Reels</x:t>
        </x:is>
      </x:c>
      <x:c r="D51" s="76" t="n">
        <x:v>3</x:v>
      </x:c>
      <x:c r="E51" s="76" t="n">
        <x:v>1</x:v>
      </x:c>
      <x:c r="F51" s="76" t="n">
        <x:v>914</x:v>
      </x:c>
      <x:c r="G51" s="76" t="n">
        <x:v>4</x:v>
      </x:c>
      <x:c r="H51" s="84" t="inlineStr">
        <x:is>
          <x:t xml:space="preserve">https://www.instagram.com/p/DVzExuzkZyU</x:t>
        </x:is>
      </x:c>
      <x:c r="I51" s="70" t="inlineStr">
        <x:is>
          <x:t xml:space="preserve">A marca de R$ 4 milhões em negócios fechados por 196 líderes prova que o networking estratégico é o alicerce da nossa economia. Em entrevist</x:t>
        </x:is>
      </x:c>
    </x:row>
    <x:row r="52" s="39" customFormat="1" ht="31.899999618530273" customHeight="1">
      <x:c r="A52" s="80" t="n">
        <x:v>46093</x:v>
      </x:c>
      <x:c r="B52" s="70" t="inlineStr">
        <x:is>
          <x:t xml:space="preserve">2026-03</x:t>
        </x:is>
      </x:c>
      <x:c r="C52" s="70" t="inlineStr">
        <x:is>
          <x:t xml:space="preserve">Carrossel</x:t>
        </x:is>
      </x:c>
      <x:c r="D52" s="76" t="n">
        <x:v>3</x:v>
      </x:c>
      <x:c r="E52" s="76" t="n">
        <x:v>0</x:v>
      </x:c>
      <x:c r="F52" s="76" t="n">
        <x:v>0</x:v>
      </x:c>
      <x:c r="G52" s="76" t="n">
        <x:v>3</x:v>
      </x:c>
      <x:c r="H52" s="84" t="inlineStr">
        <x:is>
          <x:t xml:space="preserve">https://www.instagram.com/p/DVzEjlJEV74</x:t>
        </x:is>
      </x:c>
      <x:c r="I52" s="70" t="inlineStr">
        <x:is>
          <x:t xml:space="preserve">O crescimento ascendente e os bons resultados indicados pelas métricas de fevereiro comprovam que uma gestão de excelência se constrói com d</x:t>
        </x:is>
      </x:c>
    </x:row>
    <x:row r="53" s="39" customFormat="1" ht="31.899999618530273" customHeight="1">
      <x:c r="A53" s="80" t="n">
        <x:v>46093</x:v>
      </x:c>
      <x:c r="B53" s="70" t="inlineStr">
        <x:is>
          <x:t xml:space="preserve">2026-03</x:t>
        </x:is>
      </x:c>
      <x:c r="C53" s="70" t="inlineStr">
        <x:is>
          <x:t xml:space="preserve">Feed</x:t>
        </x:is>
      </x:c>
      <x:c r="D53" s="76" t="n">
        <x:v>3</x:v>
      </x:c>
      <x:c r="E53" s="76" t="n">
        <x:v>2</x:v>
      </x:c>
      <x:c r="F53" s="76" t="n">
        <x:v>0</x:v>
      </x:c>
      <x:c r="G53" s="76" t="n">
        <x:v>5</x:v>
      </x:c>
      <x:c r="H53" s="84" t="inlineStr">
        <x:is>
          <x:t xml:space="preserve">https://www.instagram.com/p/DVzC0qaEfK2</x:t>
        </x:is>
      </x:c>
      <x:c r="I53" s="70" t="inlineStr">
        <x:is>
          <x:t xml:space="preserve">A consolidação de um de negócio forte exige buscar estratégias precisas para criar alianças comerciais. Para mapear o volume de oportunidade</x:t>
        </x:is>
      </x:c>
    </x:row>
    <x:row r="54" s="39" customFormat="1" ht="31.899999618530273" customHeight="1">
      <x:c r="A54" s="80" t="n">
        <x:v>46093</x:v>
      </x:c>
      <x:c r="B54" s="70" t="inlineStr">
        <x:is>
          <x:t xml:space="preserve">2026-03</x:t>
        </x:is>
      </x:c>
      <x:c r="C54" s="70" t="inlineStr">
        <x:is>
          <x:t xml:space="preserve">Carrossel</x:t>
        </x:is>
      </x:c>
      <x:c r="D54" s="76" t="n">
        <x:v>3</x:v>
      </x:c>
      <x:c r="E54" s="76" t="n">
        <x:v>1</x:v>
      </x:c>
      <x:c r="F54" s="76" t="n">
        <x:v>0</x:v>
      </x:c>
      <x:c r="G54" s="76" t="n">
        <x:v>4</x:v>
      </x:c>
      <x:c r="H54" s="84" t="inlineStr">
        <x:is>
          <x:t xml:space="preserve">https://www.instagram.com/p/DVzBcIska_T</x:t>
        </x:is>
      </x:c>
      <x:c r="I54" s="70" t="inlineStr">
        <x:is>
          <x:t xml:space="preserve">O fortalecimento do ecossistema empresarial de Rio Verde exige uma equipe que esteja sempre atualizada das novas tendências associativas. Du</x:t>
        </x:is>
      </x:c>
    </x:row>
    <x:row r="55" s="39" customFormat="1" ht="31.899999618530273" customHeight="1">
      <x:c r="A55" s="80" t="n">
        <x:v>46093</x:v>
      </x:c>
      <x:c r="B55" s="70" t="inlineStr">
        <x:is>
          <x:t xml:space="preserve">2026-03</x:t>
        </x:is>
      </x:c>
      <x:c r="C55" s="70" t="inlineStr">
        <x:is>
          <x:t xml:space="preserve">Reels</x:t>
        </x:is>
      </x:c>
      <x:c r="D55" s="76" t="n">
        <x:v>49</x:v>
      </x:c>
      <x:c r="E55" s="76" t="n">
        <x:v>6</x:v>
      </x:c>
      <x:c r="F55" s="76" t="n">
        <x:v>1691</x:v>
      </x:c>
      <x:c r="G55" s="76" t="n">
        <x:v>55</x:v>
      </x:c>
      <x:c r="H55" s="84" t="inlineStr">
        <x:is>
          <x:t xml:space="preserve">https://www.instagram.com/p/DVyYxkBgB5w</x:t>
        </x:is>
      </x:c>
      <x:c r="I55" s="70" t="inlineStr">
        <x:is>
          <x:t xml:space="preserve">CONVITE ESPECIAL! Vem para o StertupDAY em Rio Verde! Será dia 21/03 a partir das 08h lá no @hubrioverde!!! Link tá na bio! Vai ter startup </x:t>
        </x:is>
      </x:c>
    </x:row>
    <x:row r="56" s="39" customFormat="1" ht="31.899999618530273" customHeight="1">
      <x:c r="A56" s="80" t="n">
        <x:v>46093</x:v>
      </x:c>
      <x:c r="B56" s="70" t="inlineStr">
        <x:is>
          <x:t xml:space="preserve">2026-03</x:t>
        </x:is>
      </x:c>
      <x:c r="C56" s="70" t="inlineStr">
        <x:is>
          <x:t xml:space="preserve">Carrossel</x:t>
        </x:is>
      </x:c>
      <x:c r="D56" s="76" t="n">
        <x:v>3</x:v>
      </x:c>
      <x:c r="E56" s="76" t="n">
        <x:v>1</x:v>
      </x:c>
      <x:c r="F56" s="76" t="n">
        <x:v>0</x:v>
      </x:c>
      <x:c r="G56" s="76" t="n">
        <x:v>4</x:v>
      </x:c>
      <x:c r="H56" s="84" t="inlineStr">
        <x:is>
          <x:t xml:space="preserve">https://www.instagram.com/p/DVyMfleDWvM</x:t>
        </x:is>
      </x:c>
      <x:c r="I56" s="70" t="inlineStr">
        <x:is>
          <x:t xml:space="preserve">A redução de quatro anos para apenas 75 dias na devolução de créditos sobre maquinários redefine a competitividade do setor produtivo. Atuan</x:t>
        </x:is>
      </x:c>
    </x:row>
    <x:row r="57" s="39" customFormat="1" ht="31.899999618530273" customHeight="1">
      <x:c r="A57" s="80" t="n">
        <x:v>46093</x:v>
      </x:c>
      <x:c r="B57" s="70" t="inlineStr">
        <x:is>
          <x:t xml:space="preserve">2026-03</x:t>
        </x:is>
      </x:c>
      <x:c r="C57" s="70" t="inlineStr">
        <x:is>
          <x:t xml:space="preserve">Feed</x:t>
        </x:is>
      </x:c>
      <x:c r="D57" s="76" t="n">
        <x:v>3</x:v>
      </x:c>
      <x:c r="E57" s="76" t="n">
        <x:v>1</x:v>
      </x:c>
      <x:c r="F57" s="76" t="n">
        <x:v>0</x:v>
      </x:c>
      <x:c r="G57" s="76" t="n">
        <x:v>4</x:v>
      </x:c>
      <x:c r="H57" s="84" t="inlineStr">
        <x:is>
          <x:t xml:space="preserve">https://www.instagram.com/p/DVyDSuyDY10</x:t>
        </x:is>
      </x:c>
      <x:c r="I57" s="70" t="inlineStr">
        <x:is>
          <x:t xml:space="preserve">O alicerce de um ecossistema econômico robusto se constrói com a presença constante nos fóruns de decisão que moldam o mercado. A participaç</x:t>
        </x:is>
      </x:c>
    </x:row>
    <x:row r="58" s="39" customFormat="1" ht="31.899999618530273" customHeight="1">
      <x:c r="A58" s="80" t="n">
        <x:v>46091</x:v>
      </x:c>
      <x:c r="B58" s="70" t="inlineStr">
        <x:is>
          <x:t xml:space="preserve">2026-03</x:t>
        </x:is>
      </x:c>
      <x:c r="C58" s="70" t="inlineStr">
        <x:is>
          <x:t xml:space="preserve">Feed</x:t>
        </x:is>
      </x:c>
      <x:c r="D58" s="76" t="n">
        <x:v>3</x:v>
      </x:c>
      <x:c r="E58" s="76" t="n">
        <x:v>0</x:v>
      </x:c>
      <x:c r="F58" s="76" t="n">
        <x:v>0</x:v>
      </x:c>
      <x:c r="G58" s="76" t="n">
        <x:v>3</x:v>
      </x:c>
      <x:c r="H58" s="84" t="inlineStr">
        <x:is>
          <x:t xml:space="preserve">https://www.instagram.com/p/DVt8hkiEaW-</x:t>
        </x:is>
      </x:c>
      <x:c r="I58" s="70" t="inlineStr">
        <x:is>
          <x:t xml:space="preserve">A correria do dia a dia nos impede de perceber a falta de um fluxo de caixa estruturado, o que gera risco para o lucro da operação de um MEI</x:t>
        </x:is>
      </x:c>
    </x:row>
    <x:row r="59" s="39" customFormat="1" ht="31.899999618530273" customHeight="1">
      <x:c r="A59" s="80" t="n">
        <x:v>46091</x:v>
      </x:c>
      <x:c r="B59" s="70" t="inlineStr">
        <x:is>
          <x:t xml:space="preserve">2026-03</x:t>
        </x:is>
      </x:c>
      <x:c r="C59" s="70" t="inlineStr">
        <x:is>
          <x:t xml:space="preserve">Feed</x:t>
        </x:is>
      </x:c>
      <x:c r="D59" s="76" t="n">
        <x:v>3</x:v>
      </x:c>
      <x:c r="E59" s="76" t="n">
        <x:v>0</x:v>
      </x:c>
      <x:c r="F59" s="76" t="n">
        <x:v>0</x:v>
      </x:c>
      <x:c r="G59" s="76" t="n">
        <x:v>3</x:v>
      </x:c>
      <x:c r="H59" s="84" t="inlineStr">
        <x:is>
          <x:t xml:space="preserve">https://www.instagram.com/p/DVt4rj2EUji</x:t>
        </x:is>
      </x:c>
      <x:c r="I59" s="70" t="inlineStr">
        <x:is>
          <x:t xml:space="preserve">O alicerce de um networking de alto impacto começa com o entendimento claro das oportunidades presentes no ecossistema empresarial. Para map</x:t>
        </x:is>
      </x:c>
    </x:row>
    <x:row r="60" s="39" customFormat="1" ht="31.899999618530273" customHeight="1">
      <x:c r="A60" s="80" t="n">
        <x:v>46091</x:v>
      </x:c>
      <x:c r="B60" s="70" t="inlineStr">
        <x:is>
          <x:t xml:space="preserve">2026-03</x:t>
        </x:is>
      </x:c>
      <x:c r="C60" s="70" t="inlineStr">
        <x:is>
          <x:t xml:space="preserve">Feed</x:t>
        </x:is>
      </x:c>
      <x:c r="D60" s="76" t="n">
        <x:v>3</x:v>
      </x:c>
      <x:c r="E60" s="76" t="n">
        <x:v>0</x:v>
      </x:c>
      <x:c r="F60" s="76" t="n">
        <x:v>0</x:v>
      </x:c>
      <x:c r="G60" s="76" t="n">
        <x:v>3</x:v>
      </x:c>
      <x:c r="H60" s="84" t="inlineStr">
        <x:is>
          <x:t xml:space="preserve">https://www.instagram.com/p/DVtJ1NHjc0_</x:t>
        </x:is>
      </x:c>
      <x:c r="I60" s="70" t="inlineStr">
        <x:is>
          <x:t xml:space="preserve">Se em 2024 nossos números foram um sucesso, imagine em 2026! Não perca a oportunidade de levar a sua empresa para outro nível, entre em cont</x:t>
        </x:is>
      </x:c>
    </x:row>
    <x:row r="61" s="39" customFormat="1" ht="31.899999618530273" customHeight="1">
      <x:c r="A61" s="80" t="n">
        <x:v>46090</x:v>
      </x:c>
      <x:c r="B61" s="70" t="inlineStr">
        <x:is>
          <x:t xml:space="preserve">2026-03</x:t>
        </x:is>
      </x:c>
      <x:c r="C61" s="70" t="inlineStr">
        <x:is>
          <x:t xml:space="preserve">Reels</x:t>
        </x:is>
      </x:c>
      <x:c r="D61" s="76" t="n">
        <x:v>3</x:v>
      </x:c>
      <x:c r="E61" s="76" t="n">
        <x:v>7</x:v>
      </x:c>
      <x:c r="F61" s="76" t="n">
        <x:v>1421</x:v>
      </x:c>
      <x:c r="G61" s="76" t="n">
        <x:v>10</x:v>
      </x:c>
      <x:c r="H61" s="84" t="inlineStr">
        <x:is>
          <x:t xml:space="preserve">https://www.instagram.com/p/DVqi4JUDaB9</x:t>
        </x:is>
      </x:c>
      <x:c r="I61" s="70" t="inlineStr">
        <x:is>
          <x:t xml:space="preserve">A confirmação de mais três estandes garantidos na #SudoExpo trouxe mais um buzinaço da @rakilandia_conectando_pessoas_, que tem o ritual de </x:t>
        </x:is>
      </x:c>
    </x:row>
    <x:row r="62" s="39" customFormat="1" ht="31.899999618530273" customHeight="1">
      <x:c r="A62" s="80" t="n">
        <x:v>46089</x:v>
      </x:c>
      <x:c r="B62" s="70" t="inlineStr">
        <x:is>
          <x:t xml:space="preserve">2026-03</x:t>
        </x:is>
      </x:c>
      <x:c r="C62" s="70" t="inlineStr">
        <x:is>
          <x:t xml:space="preserve">Carrossel</x:t>
        </x:is>
      </x:c>
      <x:c r="D62" s="76" t="n">
        <x:v>44</x:v>
      </x:c>
      <x:c r="E62" s="76" t="n">
        <x:v>8</x:v>
      </x:c>
      <x:c r="F62" s="76" t="n">
        <x:v>0</x:v>
      </x:c>
      <x:c r="G62" s="76" t="n">
        <x:v>52</x:v>
      </x:c>
      <x:c r="H62" s="84" t="inlineStr">
        <x:is>
          <x:t xml:space="preserve">https://www.instagram.com/p/DVnuOq6juuv</x:t>
        </x:is>
      </x:c>
      <x:c r="I62" s="70" t="inlineStr">
        <x:is>
          <x:t xml:space="preserve">Essas são as ACIRVETES: mulheres com qualidades únicas, histórias diferentes e a energia de uma equipe forte e unida. Este é o nosso pequeno</x:t>
        </x:is>
      </x:c>
    </x:row>
    <x:row r="63" s="39" customFormat="1" ht="31.899999618530273" customHeight="1">
      <x:c r="A63" s="80" t="n">
        <x:v>46088</x:v>
      </x:c>
      <x:c r="B63" s="70" t="inlineStr">
        <x:is>
          <x:t xml:space="preserve">2026-03</x:t>
        </x:is>
      </x:c>
      <x:c r="C63" s="70" t="inlineStr">
        <x:is>
          <x:t xml:space="preserve">Feed</x:t>
        </x:is>
      </x:c>
      <x:c r="D63" s="76" t="n">
        <x:v>3</x:v>
      </x:c>
      <x:c r="E63" s="76" t="n">
        <x:v>0</x:v>
      </x:c>
      <x:c r="F63" s="76" t="n">
        <x:v>0</x:v>
      </x:c>
      <x:c r="G63" s="76" t="n">
        <x:v>3</x:v>
      </x:c>
      <x:c r="H63" s="84" t="inlineStr">
        <x:is>
          <x:t xml:space="preserve">https://www.instagram.com/p/DVmJkYZEXmX</x:t>
        </x:is>
      </x:c>
      <x:c r="I63" s="70" t="inlineStr">
        <x:is>
          <x:t xml:space="preserve">O montante de R$ 4 milhões movimentados entre 196 profissionais comprova que uma rede de contatos estruturada é o alicerce mais seguro para </x:t>
        </x:is>
      </x:c>
    </x:row>
    <x:row r="64" s="39" customFormat="1" ht="31.899999618530273" customHeight="1">
      <x:c r="A64" s="80" t="n">
        <x:v>46087</x:v>
      </x:c>
      <x:c r="B64" s="70" t="inlineStr">
        <x:is>
          <x:t xml:space="preserve">2026-03</x:t>
        </x:is>
      </x:c>
      <x:c r="C64" s="70" t="inlineStr">
        <x:is>
          <x:t xml:space="preserve">Carrossel</x:t>
        </x:is>
      </x:c>
      <x:c r="D64" s="76" t="n">
        <x:v>54</x:v>
      </x:c>
      <x:c r="E64" s="76" t="n">
        <x:v>5</x:v>
      </x:c>
      <x:c r="F64" s="76" t="n">
        <x:v>0</x:v>
      </x:c>
      <x:c r="G64" s="76" t="n">
        <x:v>59</x:v>
      </x:c>
      <x:c r="H64" s="84" t="inlineStr">
        <x:is>
          <x:t xml:space="preserve">https://www.instagram.com/p/DVjkQFRiUAc</x:t>
        </x:is>
      </x:c>
      <x:c r="I64" s="70" t="inlineStr">
        <x:is>
          <x:t xml:space="preserve">O ritmo do varejo depende de um trânsito urbano fluído, e a conquista da permanência de três horas na #ÁreaVerde comprova que a voz da ACIRV</x:t>
        </x:is>
      </x:c>
    </x:row>
    <x:row r="65" s="39" customFormat="1" ht="31.899999618530273" customHeight="1">
      <x:c r="A65" s="80" t="n">
        <x:v>46087</x:v>
      </x:c>
      <x:c r="B65" s="70" t="inlineStr">
        <x:is>
          <x:t xml:space="preserve">2026-03</x:t>
        </x:is>
      </x:c>
      <x:c r="C65" s="70" t="inlineStr">
        <x:is>
          <x:t xml:space="preserve">Feed</x:t>
        </x:is>
      </x:c>
      <x:c r="D65" s="76" t="n">
        <x:v>9</x:v>
      </x:c>
      <x:c r="E65" s="76" t="n">
        <x:v>0</x:v>
      </x:c>
      <x:c r="F65" s="76" t="n">
        <x:v>0</x:v>
      </x:c>
      <x:c r="G65" s="76" t="n">
        <x:v>9</x:v>
      </x:c>
      <x:c r="H65" s="84" t="inlineStr">
        <x:is>
          <x:t xml:space="preserve">https://www.instagram.com/p/DVizX1cjatO</x:t>
        </x:is>
      </x:c>
      <x:c r="I65" s="70" t="inlineStr">
        <x:is>
          <x:t xml:space="preserve">A Sudoexpo 2026 nasce com um conceito claro: ✨ Inovação 🌱 Sustentabilidade 🤝 Geração de Negócios Com novos espaços temáticos e experiências </x:t>
        </x:is>
      </x:c>
    </x:row>
    <x:row r="66" s="39" customFormat="1" ht="31.899999618530273" customHeight="1">
      <x:c r="A66" s="80" t="n">
        <x:v>46085</x:v>
      </x:c>
      <x:c r="B66" s="70" t="inlineStr">
        <x:is>
          <x:t xml:space="preserve">2026-03</x:t>
        </x:is>
      </x:c>
      <x:c r="C66" s="70" t="inlineStr">
        <x:is>
          <x:t xml:space="preserve">Carrossel</x:t>
        </x:is>
      </x:c>
      <x:c r="D66" s="76" t="n">
        <x:v>3</x:v>
      </x:c>
      <x:c r="E66" s="76" t="n">
        <x:v>13</x:v>
      </x:c>
      <x:c r="F66" s="76" t="n">
        <x:v>0</x:v>
      </x:c>
      <x:c r="G66" s="76" t="n">
        <x:v>16</x:v>
      </x:c>
      <x:c r="H66" s="84" t="inlineStr">
        <x:is>
          <x:t xml:space="preserve">https://www.instagram.com/p/DVeaoSMDmL-</x:t>
        </x:is>
      </x:c>
      <x:c r="I66" s="70" t="inlineStr">
        <x:is>
          <x:t xml:space="preserve">O Conselho ACIRV Mulher marcou presença no MOVIMENTE, evento promovido pelo Sebrae, em Brasília, que reuniu lideranças femininas, empreended</x:t>
        </x:is>
      </x:c>
    </x:row>
    <x:row r="67" s="39" customFormat="1" ht="31.899999618530273" customHeight="1">
      <x:c r="A67" s="80" t="n">
        <x:v>46085</x:v>
      </x:c>
      <x:c r="B67" s="70" t="inlineStr">
        <x:is>
          <x:t xml:space="preserve">2026-03</x:t>
        </x:is>
      </x:c>
      <x:c r="C67" s="70" t="inlineStr">
        <x:is>
          <x:t xml:space="preserve">Carrossel</x:t>
        </x:is>
      </x:c>
      <x:c r="D67" s="76" t="n">
        <x:v>3</x:v>
      </x:c>
      <x:c r="E67" s="76" t="n">
        <x:v>2</x:v>
      </x:c>
      <x:c r="F67" s="76" t="n">
        <x:v>0</x:v>
      </x:c>
      <x:c r="G67" s="76" t="n">
        <x:v>5</x:v>
      </x:c>
      <x:c r="H67" s="84" t="inlineStr">
        <x:is>
          <x:t xml:space="preserve">https://www.instagram.com/p/DVeYgx9EbMZ</x:t>
        </x:is>
      </x:c>
      <x:c r="I67" s="70" t="inlineStr">
        <x:is>
          <x:t xml:space="preserve">A estruturação do mercado de carbono no agronegócio exige métricas precisas para transformar práticas ambientais em ativos comerciais que ge</x:t>
        </x:is>
      </x:c>
    </x:row>
    <x:row r="68" s="39" customFormat="1" ht="31.899999618530273" customHeight="1">
      <x:c r="A68" s="80" t="n">
        <x:v>46085</x:v>
      </x:c>
      <x:c r="B68" s="70" t="inlineStr">
        <x:is>
          <x:t xml:space="preserve">2026-03</x:t>
        </x:is>
      </x:c>
      <x:c r="C68" s="70" t="inlineStr">
        <x:is>
          <x:t xml:space="preserve">Carrossel</x:t>
        </x:is>
      </x:c>
      <x:c r="D68" s="76" t="n">
        <x:v>3</x:v>
      </x:c>
      <x:c r="E68" s="76" t="n">
        <x:v>7</x:v>
      </x:c>
      <x:c r="F68" s="76" t="n">
        <x:v>0</x:v>
      </x:c>
      <x:c r="G68" s="76" t="n">
        <x:v>10</x:v>
      </x:c>
      <x:c r="H68" s="84" t="inlineStr">
        <x:is>
          <x:t xml:space="preserve">https://www.instagram.com/p/DVeJ_2UjaVy</x:t>
        </x:is>
      </x:c>
      <x:c r="I68" s="70" t="inlineStr">
        <x:is>
          <x:t xml:space="preserve">A presença de autoridades e da sociedade civil em torno do GARV eleva a causa autista de uma demanda familiar a um compromisso estrutural de</x:t>
        </x:is>
      </x:c>
    </x:row>
    <x:row r="69" s="39" customFormat="1" ht="31.899999618530273" customHeight="1">
      <x:c r="A69" s="80" t="n">
        <x:v>46083</x:v>
      </x:c>
      <x:c r="B69" s="70" t="inlineStr">
        <x:is>
          <x:t xml:space="preserve">2026-03</x:t>
        </x:is>
      </x:c>
      <x:c r="C69" s="70" t="inlineStr">
        <x:is>
          <x:t xml:space="preserve">Feed</x:t>
        </x:is>
      </x:c>
      <x:c r="D69" s="76" t="n">
        <x:v>18</x:v>
      </x:c>
      <x:c r="E69" s="76" t="n">
        <x:v>0</x:v>
      </x:c>
      <x:c r="F69" s="76" t="n">
        <x:v>0</x:v>
      </x:c>
      <x:c r="G69" s="76" t="n">
        <x:v>18</x:v>
      </x:c>
      <x:c r="H69" s="84" t="inlineStr">
        <x:is>
          <x:t xml:space="preserve">https://www.instagram.com/p/DVY1zSvjTP_</x:t>
        </x:is>
      </x:c>
      <x:c r="I69" s="70" t="inlineStr">
        <x:is>
          <x:t xml:space="preserve">“A Sudoexpo é mais do que uma feira: é um símbolo do potencial produtivo e inovador da nossa região.” — José Carlos Cintra, presidente da AC</x:t>
        </x:is>
      </x:c>
    </x:row>
    <x:row r="70" s="39" customFormat="1" ht="31.899999618530273" customHeight="1">
      <x:c r="A70" s="80" t="n">
        <x:v>46083</x:v>
      </x:c>
      <x:c r="B70" s="70" t="inlineStr">
        <x:is>
          <x:t xml:space="preserve">2026-03</x:t>
        </x:is>
      </x:c>
      <x:c r="C70" s="70" t="inlineStr">
        <x:is>
          <x:t xml:space="preserve">Carrossel</x:t>
        </x:is>
      </x:c>
      <x:c r="D70" s="76" t="n">
        <x:v>60</x:v>
      </x:c>
      <x:c r="E70" s="76" t="n">
        <x:v>2</x:v>
      </x:c>
      <x:c r="F70" s="76" t="n">
        <x:v>0</x:v>
      </x:c>
      <x:c r="G70" s="76" t="n">
        <x:v>62</x:v>
      </x:c>
      <x:c r="H70" s="84" t="inlineStr">
        <x:is>
          <x:t xml:space="preserve">https://www.instagram.com/p/DVYqGSJDR1U</x:t>
        </x:is>
      </x:c>
      <x:c r="I70" s="70" t="inlineStr">
        <x:is>
          <x:t xml:space="preserve">Buscar capacitação técnica, ocupar cargos de liderança e debater políticas públicas para o empreendedorismo feminino em Brasília são passos </x:t>
        </x:is>
      </x:c>
    </x:row>
    <x:row r="71" s="39" customFormat="1" ht="31.899999618530273" customHeight="1">
      <x:c r="A71" s="80" t="n">
        <x:v>46081</x:v>
      </x:c>
      <x:c r="B71" s="70" t="inlineStr">
        <x:is>
          <x:t xml:space="preserve">2026-02</x:t>
        </x:is>
      </x:c>
      <x:c r="C71" s="70" t="inlineStr">
        <x:is>
          <x:t xml:space="preserve">Carrossel</x:t>
        </x:is>
      </x:c>
      <x:c r="D71" s="76" t="n">
        <x:v>156</x:v>
      </x:c>
      <x:c r="E71" s="76" t="n">
        <x:v>6</x:v>
      </x:c>
      <x:c r="F71" s="76" t="n">
        <x:v>0</x:v>
      </x:c>
      <x:c r="G71" s="76" t="n">
        <x:v>162</x:v>
      </x:c>
      <x:c r="H71" s="84" t="inlineStr">
        <x:is>
          <x:t xml:space="preserve">https://www.instagram.com/p/DVUCAzfkYRu</x:t>
        </x:is>
      </x:c>
      <x:c r="I71" s="70" t="inlineStr">
        <x:is>
          <x:t xml:space="preserve">O auditório da #ACIRV cheio por lideranças em busca de capacitação demonstra que o #CaféEntreAmigos sobre a #ReformaTributária foi uma virad</x:t>
        </x:is>
      </x:c>
    </x:row>
    <x:row r="72" s="39" customFormat="1" ht="31.899999618530273" customHeight="1">
      <x:c r="A72" s="80" t="n">
        <x:v>46080</x:v>
      </x:c>
      <x:c r="B72" s="70" t="inlineStr">
        <x:is>
          <x:t xml:space="preserve">2026-02</x:t>
        </x:is>
      </x:c>
      <x:c r="C72" s="70" t="inlineStr">
        <x:is>
          <x:t xml:space="preserve">Feed</x:t>
        </x:is>
      </x:c>
      <x:c r="D72" s="76" t="n">
        <x:v>29</x:v>
      </x:c>
      <x:c r="E72" s="76" t="n">
        <x:v>0</x:v>
      </x:c>
      <x:c r="F72" s="76" t="n">
        <x:v>0</x:v>
      </x:c>
      <x:c r="G72" s="76" t="n">
        <x:v>29</x:v>
      </x:c>
      <x:c r="H72" s="84" t="inlineStr">
        <x:is>
          <x:t xml:space="preserve">https://www.instagram.com/p/DVRCP2lDTnx</x:t>
        </x:is>
      </x:c>
      <x:c r="I72" s="70" t="inlineStr">
        <x:is>
          <x:t xml:space="preserve">As alianças comerciais mais sólidas nascem de conversas estruturadas para gerar conexão, e a primeira agenda para construir essas conexões e</x:t>
        </x:is>
      </x:c>
    </x:row>
    <x:row r="73" s="39" customFormat="1" ht="31.899999618530273" customHeight="1">
      <x:c r="A73" s="80" t="n">
        <x:v>46080</x:v>
      </x:c>
      <x:c r="B73" s="70" t="inlineStr">
        <x:is>
          <x:t xml:space="preserve">2026-02</x:t>
        </x:is>
      </x:c>
      <x:c r="C73" s="70" t="inlineStr">
        <x:is>
          <x:t xml:space="preserve">Reels</x:t>
        </x:is>
      </x:c>
      <x:c r="D73" s="76" t="n">
        <x:v>27</x:v>
      </x:c>
      <x:c r="E73" s="76" t="n">
        <x:v>0</x:v>
      </x:c>
      <x:c r="F73" s="76" t="n">
        <x:v>514</x:v>
      </x:c>
      <x:c r="G73" s="76" t="n">
        <x:v>27</x:v>
      </x:c>
      <x:c r="H73" s="84" t="inlineStr">
        <x:is>
          <x:t xml:space="preserve">https://www.instagram.com/p/DVRAgzljgzF</x:t>
        </x:is>
      </x:c>
      <x:c r="I73" s="70" t="inlineStr">
        <x:is>
          <x:t xml:space="preserve">A Sudoexpo não é apenas um evento. É um símbolo do potencial produtivo e inovador de Goiás. Um ambiente criado para gerar conexões reais, op</x:t>
        </x:is>
      </x:c>
    </x:row>
    <x:row r="74" s="39" customFormat="1" ht="31.899999618530273" customHeight="1">
      <x:c r="A74" s="80" t="n">
        <x:v>46079</x:v>
      </x:c>
      <x:c r="B74" s="70" t="inlineStr">
        <x:is>
          <x:t xml:space="preserve">2026-02</x:t>
        </x:is>
      </x:c>
      <x:c r="C74" s="70" t="inlineStr">
        <x:is>
          <x:t xml:space="preserve">Carrossel</x:t>
        </x:is>
      </x:c>
      <x:c r="D74" s="76" t="n">
        <x:v>3</x:v>
      </x:c>
      <x:c r="E74" s="76" t="n">
        <x:v>2</x:v>
      </x:c>
      <x:c r="F74" s="76" t="n">
        <x:v>0</x:v>
      </x:c>
      <x:c r="G74" s="76" t="n">
        <x:v>5</x:v>
      </x:c>
      <x:c r="H74" s="84" t="inlineStr">
        <x:is>
          <x:t xml:space="preserve">https://www.instagram.com/p/DVPcQNajkA8</x:t>
        </x:is>
      </x:c>
      <x:c r="I74" s="70" t="inlineStr">
        <x:is>
          <x:t xml:space="preserve">Celebramos mais do que uma cerimônia de posse. Celebramos continuidade, compromisso e responsabilidade com o futuro. O Conselho ACIRV Mulher</x:t>
        </x:is>
      </x:c>
    </x:row>
    <x:row r="75" s="39" customFormat="1" ht="31.899999618530273" customHeight="1">
      <x:c r="A75" s="80" t="n">
        <x:v>46079</x:v>
      </x:c>
      <x:c r="B75" s="70" t="inlineStr">
        <x:is>
          <x:t xml:space="preserve">2026-02</x:t>
        </x:is>
      </x:c>
      <x:c r="C75" s="70" t="inlineStr">
        <x:is>
          <x:t xml:space="preserve">Carrossel</x:t>
        </x:is>
      </x:c>
      <x:c r="D75" s="76" t="n">
        <x:v>69</x:v>
      </x:c>
      <x:c r="E75" s="76" t="n">
        <x:v>2</x:v>
      </x:c>
      <x:c r="F75" s="76" t="n">
        <x:v>0</x:v>
      </x:c>
      <x:c r="G75" s="76" t="n">
        <x:v>71</x:v>
      </x:c>
      <x:c r="H75" s="84" t="inlineStr">
        <x:is>
          <x:t xml:space="preserve">https://www.instagram.com/p/DVPEpjskrus</x:t>
        </x:is>
      </x:c>
      <x:c r="I75" s="70" t="inlineStr">
        <x:is>
          <x:t xml:space="preserve">A #ACIRV esteve presente em um momento histórico para o fortalecimento da segurança e do setor produtivo de Rio Verde. O presidente, Sr. Jos</x:t>
        </x:is>
      </x:c>
    </x:row>
    <x:row r="76" s="39" customFormat="1" ht="21.649999618530273" customHeight="1">
      <x:c r="A76" s="80" t="n">
        <x:v>46079</x:v>
      </x:c>
      <x:c r="B76" s="70" t="inlineStr">
        <x:is>
          <x:t xml:space="preserve">2026-02</x:t>
        </x:is>
      </x:c>
      <x:c r="C76" s="70" t="inlineStr">
        <x:is>
          <x:t xml:space="preserve">Reels</x:t>
        </x:is>
      </x:c>
      <x:c r="D76" s="76" t="n">
        <x:v>9</x:v>
      </x:c>
      <x:c r="E76" s="76" t="n">
        <x:v>0</x:v>
      </x:c>
      <x:c r="F76" s="76" t="n">
        <x:v>400</x:v>
      </x:c>
      <x:c r="G76" s="76" t="n">
        <x:v>9</x:v>
      </x:c>
      <x:c r="H76" s="84" t="inlineStr">
        <x:is>
          <x:t xml:space="preserve">https://www.instagram.com/p/DVPBo6Jkqxg</x:t>
        </x:is>
      </x:c>
      <x:c r="I76" s="70" t="inlineStr">
        <x:is>
          <x:t xml:space="preserve">Tv Sucesso 2026 Plano de Auxílio Mútuo Prefeitura Municipal de Rio Verde GO #TVSucesso #BandCidade #rioverde #goias</x:t>
        </x:is>
      </x:c>
    </x:row>
    <x:row r="77" s="39" customFormat="1" ht="31.899999618530273" customHeight="1">
      <x:c r="A77" s="80" t="n">
        <x:v>46079</x:v>
      </x:c>
      <x:c r="B77" s="70" t="inlineStr">
        <x:is>
          <x:t xml:space="preserve">2026-02</x:t>
        </x:is>
      </x:c>
      <x:c r="C77" s="70" t="inlineStr">
        <x:is>
          <x:t xml:space="preserve">Carrossel</x:t>
        </x:is>
      </x:c>
      <x:c r="D77" s="76" t="n">
        <x:v>3</x:v>
      </x:c>
      <x:c r="E77" s="76" t="n">
        <x:v>0</x:v>
      </x:c>
      <x:c r="F77" s="76" t="n">
        <x:v>0</x:v>
      </x:c>
      <x:c r="G77" s="76" t="n">
        <x:v>3</x:v>
      </x:c>
      <x:c r="H77" s="84" t="inlineStr">
        <x:is>
          <x:t xml:space="preserve">https://www.instagram.com/p/DVOpUjCDUqa</x:t>
        </x:is>
      </x:c>
      <x:c r="I77" s="70" t="inlineStr">
        <x:is>
          <x:t xml:space="preserve">ARRASTE PARA O LADO E CONFIRA OS DEPOIMENTOS COMPLETOS! A consolidação de um ecossistema econômico exige diálogo contínuo, fator que tangibi</x:t>
        </x:is>
      </x:c>
    </x:row>
    <x:row r="78" s="39" customFormat="1" ht="31.899999618530273" customHeight="1">
      <x:c r="A78" s="80" t="n">
        <x:v>46078</x:v>
      </x:c>
      <x:c r="B78" s="70" t="inlineStr">
        <x:is>
          <x:t xml:space="preserve">2026-02</x:t>
        </x:is>
      </x:c>
      <x:c r="C78" s="70" t="inlineStr">
        <x:is>
          <x:t xml:space="preserve">Feed</x:t>
        </x:is>
      </x:c>
      <x:c r="D78" s="76" t="n">
        <x:v>3</x:v>
      </x:c>
      <x:c r="E78" s="76" t="n">
        <x:v>0</x:v>
      </x:c>
      <x:c r="F78" s="76" t="n">
        <x:v>0</x:v>
      </x:c>
      <x:c r="G78" s="76" t="n">
        <x:v>3</x:v>
      </x:c>
      <x:c r="H78" s="84" t="inlineStr">
        <x:is>
          <x:t xml:space="preserve">https://www.instagram.com/p/DVLtQ1VDdIu</x:t>
        </x:is>
      </x:c>
      <x:c r="I78" s="70" t="inlineStr">
        <x:is>
          <x:t xml:space="preserve">Leve seu negócio para outro patamar, seja um expositor da maior feira multissetorial do Centro-Oeste. SUDOEXPO - Aqui tudo vira negócio!</x:t>
        </x:is>
      </x:c>
    </x:row>
    <x:row r="79" s="39" customFormat="1" ht="31.899999618530273" customHeight="1">
      <x:c r="A79" s="80" t="n">
        <x:v>46077</x:v>
      </x:c>
      <x:c r="B79" s="70" t="inlineStr">
        <x:is>
          <x:t xml:space="preserve">2026-02</x:t>
        </x:is>
      </x:c>
      <x:c r="C79" s="70" t="inlineStr">
        <x:is>
          <x:t xml:space="preserve">Carrossel</x:t>
        </x:is>
      </x:c>
      <x:c r="D79" s="76" t="n">
        <x:v>150</x:v>
      </x:c>
      <x:c r="E79" s="76" t="n">
        <x:v>33</x:v>
      </x:c>
      <x:c r="F79" s="76" t="n">
        <x:v>0</x:v>
      </x:c>
      <x:c r="G79" s="76" t="n">
        <x:v>183</x:v>
      </x:c>
      <x:c r="H79" s="84" t="inlineStr">
        <x:is>
          <x:t xml:space="preserve">https://www.instagram.com/p/DVKjAIIDdIB</x:t>
        </x:is>
      </x:c>
      <x:c r="I79" s="70" t="inlineStr">
        <x:is>
          <x:t xml:space="preserve">A presença em peso de #LiderançasFemininas neste evento valida que o Conselho #ACIRVmulher é hoje um pilar de inteligência do mercado, um ce</x:t>
        </x:is>
      </x:c>
    </x:row>
    <x:row r="80" s="39" customFormat="1" ht="31.899999618530273" customHeight="1">
      <x:c r="A80" s="80" t="n">
        <x:v>46076</x:v>
      </x:c>
      <x:c r="B80" s="70" t="inlineStr">
        <x:is>
          <x:t xml:space="preserve">2026-02</x:t>
        </x:is>
      </x:c>
      <x:c r="C80" s="70" t="inlineStr">
        <x:is>
          <x:t xml:space="preserve">Reels</x:t>
        </x:is>
      </x:c>
      <x:c r="D80" s="76" t="n">
        <x:v>29</x:v>
      </x:c>
      <x:c r="E80" s="76" t="n">
        <x:v>1</x:v>
      </x:c>
      <x:c r="F80" s="76" t="n">
        <x:v>688</x:v>
      </x:c>
      <x:c r="G80" s="76" t="n">
        <x:v>30</x:v>
      </x:c>
      <x:c r="H80" s="84" t="inlineStr">
        <x:is>
          <x:t xml:space="preserve">https://www.instagram.com/p/DVHT4DQkk_Z</x:t>
        </x:is>
      </x:c>
      <x:c r="I80" s="70" t="inlineStr">
        <x:is>
          <x:t xml:space="preserve">A maior feira multissetorial do Centro-Oeste já tem data para acontecer. 🗓 9 a 12 de setembro de 2026 📍 Rio Verde – GO A Sudoexpo 2026 chega</x:t>
        </x:is>
      </x:c>
    </x:row>
    <x:row r="81" s="39" customFormat="1" ht="31.899999618530273" customHeight="1">
      <x:c r="A81" s="80" t="n">
        <x:v>46076</x:v>
      </x:c>
      <x:c r="B81" s="70" t="inlineStr">
        <x:is>
          <x:t xml:space="preserve">2026-02</x:t>
        </x:is>
      </x:c>
      <x:c r="C81" s="70" t="inlineStr">
        <x:is>
          <x:t xml:space="preserve">Reels</x:t>
        </x:is>
      </x:c>
      <x:c r="D81" s="76" t="n">
        <x:v>16</x:v>
      </x:c>
      <x:c r="E81" s="76" t="n">
        <x:v>0</x:v>
      </x:c>
      <x:c r="F81" s="76" t="n">
        <x:v>826</x:v>
      </x:c>
      <x:c r="G81" s="76" t="n">
        <x:v>16</x:v>
      </x:c>
      <x:c r="H81" s="84" t="inlineStr">
        <x:is>
          <x:t xml:space="preserve">https://www.instagram.com/p/DVHNJVTkjcY</x:t>
        </x:is>
      </x:c>
      <x:c r="I81" s="70" t="inlineStr">
        <x:is>
          <x:t xml:space="preserve">Transformar influência em crescimento ativo é o foco central da campanha "Quem Indica Fortalece". A #ACIRV foi a @tvsucessoband para a grava</x:t>
        </x:is>
      </x:c>
    </x:row>
    <x:row r="82" s="39" customFormat="1" ht="31.899999618530273" customHeight="1">
      <x:c r="A82" s="80" t="n">
        <x:v>46073</x:v>
      </x:c>
      <x:c r="B82" s="70" t="inlineStr">
        <x:is>
          <x:t xml:space="preserve">2026-02</x:t>
        </x:is>
      </x:c>
      <x:c r="C82" s="70" t="inlineStr">
        <x:is>
          <x:t xml:space="preserve">Reels</x:t>
        </x:is>
      </x:c>
      <x:c r="D82" s="76" t="n">
        <x:v>39</x:v>
      </x:c>
      <x:c r="E82" s="76" t="n">
        <x:v>2</x:v>
      </x:c>
      <x:c r="F82" s="76" t="n">
        <x:v>1601</x:v>
      </x:c>
      <x:c r="G82" s="76" t="n">
        <x:v>41</x:v>
      </x:c>
      <x:c r="H82" s="84" t="inlineStr">
        <x:is>
          <x:t xml:space="preserve">https://www.instagram.com/p/DU_fw_Gkurj</x:t>
        </x:is>
      </x:c>
      <x:c r="I82" s="70" t="inlineStr">
        <x:is>
          <x:t xml:space="preserve">Garantir de forma antecipada presença na #SudoExpo é a manobra decisiva das empresas que buscam protagonismo e visibilidade qualificada, e a</x:t>
        </x:is>
      </x:c>
    </x:row>
    <x:row r="83" s="39" customFormat="1" ht="31.899999618530273" customHeight="1">
      <x:c r="A83" s="80" t="n">
        <x:v>46073</x:v>
      </x:c>
      <x:c r="B83" s="70" t="inlineStr">
        <x:is>
          <x:t xml:space="preserve">2026-02</x:t>
        </x:is>
      </x:c>
      <x:c r="C83" s="70" t="inlineStr">
        <x:is>
          <x:t xml:space="preserve">Feed</x:t>
        </x:is>
      </x:c>
      <x:c r="D83" s="76" t="n">
        <x:v>31</x:v>
      </x:c>
      <x:c r="E83" s="76" t="n">
        <x:v>3</x:v>
      </x:c>
      <x:c r="F83" s="76" t="n">
        <x:v>0</x:v>
      </x:c>
      <x:c r="G83" s="76" t="n">
        <x:v>34</x:v>
      </x:c>
      <x:c r="H83" s="84" t="inlineStr">
        <x:is>
          <x:t xml:space="preserve">https://www.instagram.com/p/DU_eHLrkcJc</x:t>
        </x:is>
      </x:c>
      <x:c r="I83" s="70" t="inlineStr">
        <x:is>
          <x:t xml:space="preserve">O crescimento de um ecossistema se mede pela qualidade das trocas. Quando líderes de diversos setores ocupam o mesmo espaço com intenção de </x:t>
        </x:is>
      </x:c>
    </x:row>
    <x:row r="84" s="39" customFormat="1" ht="21.649999618530273" customHeight="1">
      <x:c r="A84" s="80" t="n">
        <x:v>46072</x:v>
      </x:c>
      <x:c r="B84" s="70" t="inlineStr">
        <x:is>
          <x:t xml:space="preserve">2026-02</x:t>
        </x:is>
      </x:c>
      <x:c r="C84" s="70" t="inlineStr">
        <x:is>
          <x:t xml:space="preserve">Reels</x:t>
        </x:is>
      </x:c>
      <x:c r="D84" s="76" t="n">
        <x:v>15</x:v>
      </x:c>
      <x:c r="E84" s="76" t="n">
        <x:v>0</x:v>
      </x:c>
      <x:c r="F84" s="76" t="n">
        <x:v>599</x:v>
      </x:c>
      <x:c r="G84" s="76" t="n">
        <x:v>15</x:v>
      </x:c>
      <x:c r="H84" s="84" t="inlineStr">
        <x:is>
          <x:t xml:space="preserve">https://www.instagram.com/p/DU8vU_tAOnK</x:t>
        </x:is>
      </x:c>
      <x:c r="I84" s="70" t="inlineStr">
        <x:is>
          <x:t xml:space="preserve">Restam somente poucas unidades, entre em contato e reserve já o seu stand. A melhor oportunidade do ano está aqui!</x:t>
        </x:is>
      </x:c>
    </x:row>
    <x:row r="85" s="39" customFormat="1" ht="31.899999618530273" customHeight="1">
      <x:c r="A85" s="80" t="n">
        <x:v>46072</x:v>
      </x:c>
      <x:c r="B85" s="70" t="inlineStr">
        <x:is>
          <x:t xml:space="preserve">2026-02</x:t>
        </x:is>
      </x:c>
      <x:c r="C85" s="70" t="inlineStr">
        <x:is>
          <x:t xml:space="preserve">Carrossel</x:t>
        </x:is>
      </x:c>
      <x:c r="D85" s="76" t="n">
        <x:v>96</x:v>
      </x:c>
      <x:c r="E85" s="76" t="n">
        <x:v>10</x:v>
      </x:c>
      <x:c r="F85" s="76" t="n">
        <x:v>0</x:v>
      </x:c>
      <x:c r="G85" s="76" t="n">
        <x:v>106</x:v>
      </x:c>
      <x:c r="H85" s="84" t="inlineStr">
        <x:is>
          <x:t xml:space="preserve">https://www.instagram.com/p/DU8gUwkDcyS</x:t>
        </x:is>
      </x:c>
      <x:c r="I85" s="70" t="inlineStr">
        <x:is>
          <x:t xml:space="preserve">A autonomia do comércio local de hortifruti não é apenas uma demanda logística, é uma questão de crescimento econômico para Rio Verde. 🚜📈 Re</x:t>
        </x:is>
      </x:c>
    </x:row>
    <x:row r="86" s="39" customFormat="1" ht="31.899999618530273" customHeight="1">
      <x:c r="A86" s="80" t="n">
        <x:v>46071</x:v>
      </x:c>
      <x:c r="B86" s="70" t="inlineStr">
        <x:is>
          <x:t xml:space="preserve">2026-02</x:t>
        </x:is>
      </x:c>
      <x:c r="C86" s="70" t="inlineStr">
        <x:is>
          <x:t xml:space="preserve">Feed</x:t>
        </x:is>
      </x:c>
      <x:c r="D86" s="76" t="n">
        <x:v>3</x:v>
      </x:c>
      <x:c r="E86" s="76" t="n">
        <x:v>2</x:v>
      </x:c>
      <x:c r="F86" s="76" t="n">
        <x:v>0</x:v>
      </x:c>
      <x:c r="G86" s="76" t="n">
        <x:v>5</x:v>
      </x:c>
      <x:c r="H86" s="84" t="inlineStr">
        <x:is>
          <x:t xml:space="preserve">https://www.instagram.com/p/DU5s95OjeXb</x:t>
        </x:is>
      </x:c>
      <x:c r="I86" s="70" t="inlineStr">
        <x:is>
          <x:t xml:space="preserve">A Reforma Tributária redefiniu as margens de lucro e quem não entender as novas regras agora, comprometerá o caixa amanhã. A complexidade do</x:t>
        </x:is>
      </x:c>
    </x:row>
    <x:row r="87" s="39" customFormat="1" ht="31.899999618530273" customHeight="1">
      <x:c r="A87" s="80" t="n">
        <x:v>46070</x:v>
      </x:c>
      <x:c r="B87" s="70" t="inlineStr">
        <x:is>
          <x:t xml:space="preserve">2026-02</x:t>
        </x:is>
      </x:c>
      <x:c r="C87" s="70" t="inlineStr">
        <x:is>
          <x:t xml:space="preserve">Reels</x:t>
        </x:is>
      </x:c>
      <x:c r="D87" s="76" t="n">
        <x:v>3</x:v>
      </x:c>
      <x:c r="E87" s="76" t="n">
        <x:v>0</x:v>
      </x:c>
      <x:c r="F87" s="76" t="n">
        <x:v>675</x:v>
      </x:c>
      <x:c r="G87" s="76" t="n">
        <x:v>3</x:v>
      </x:c>
      <x:c r="H87" s="84" t="inlineStr">
        <x:is>
          <x:t xml:space="preserve">https://www.instagram.com/p/DU4E_UcDfI3</x:t>
        </x:is>
      </x:c>
      <x:c r="I87" s="70" t="inlineStr">
        <x:is>
          <x:t xml:space="preserve">A autoridade da sua marca é percebida de forma imediata no ambiente onde você recebe parceiros e colaboradores. O @marquim_eletromar apresen</x:t>
        </x:is>
      </x:c>
    </x:row>
    <x:row r="88" s="39" customFormat="1" ht="31.899999618530273" customHeight="1">
      <x:c r="A88" s="80" t="n">
        <x:v>46069</x:v>
      </x:c>
      <x:c r="B88" s="70" t="inlineStr">
        <x:is>
          <x:t xml:space="preserve">2026-02</x:t>
        </x:is>
      </x:c>
      <x:c r="C88" s="70" t="inlineStr">
        <x:is>
          <x:t xml:space="preserve">Feed</x:t>
        </x:is>
      </x:c>
      <x:c r="D88" s="76" t="n">
        <x:v>10</x:v>
      </x:c>
      <x:c r="E88" s="76" t="n">
        <x:v>0</x:v>
      </x:c>
      <x:c r="F88" s="76" t="n">
        <x:v>0</x:v>
      </x:c>
      <x:c r="G88" s="76" t="n">
        <x:v>10</x:v>
      </x:c>
      <x:c r="H88" s="84" t="inlineStr">
        <x:is>
          <x:t xml:space="preserve">https://www.instagram.com/p/DU1WU8MkjTX</x:t>
        </x:is>
      </x:c>
      <x:c r="I88" s="70" t="inlineStr">
        <x:is>
          <x:t xml:space="preserve">O valor de uma ideia reside na competência técnica de tirá-la do papel e validá-la no mercado. A oficina "In Book: Vai lá e Faz", organizada</x:t>
        </x:is>
      </x:c>
    </x:row>
  </x:sheetData>
  <x:mergeCells>
    <x:mergeCell ref="A2:I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1" style="67" customWidth="1"/>
    <x:col min="3" max="3" width="10" style="67" customWidth="1"/>
    <x:col min="4" max="4" width="13" style="67" customWidth="1"/>
    <x:col min="5" max="5" width="10" style="67" customWidth="1"/>
    <x:col min="6" max="6" width="13" style="67" customWidth="1"/>
    <x:col min="7" max="7" width="45" style="67" customWidth="1"/>
    <x:col min="8" max="8" width="41" style="67" customWidth="1"/>
  </x:cols>
  <x:sheetData>
    <x:row r="1" s="39" customFormat="1" ht="20.450000762939453" customHeight="1">
      <x:c r="A1" s="68" t="inlineStr">
        <x:is>
          <x:t xml:space="preserve">Top Conteúdos 84</x:t>
        </x:is>
      </x:c>
    </x:row>
    <x:row r="2" s="39" customFormat="1" ht="15" customHeight="1">
      <x:c r="A2" s="74" t="inlineStr">
        <x:is>
          <x:t xml:space="preserve">Top 25 conteúdos do recorte de 84 posts, ordenados por engajamento.</x:t>
        </x:is>
      </x:c>
    </x:row>
    <x:row r="4" s="39" customFormat="1" ht="15" customHeight="1">
      <x:c r="A4" s="69" t="inlineStr">
        <x:is>
          <x:t xml:space="preserve">data_publicacao</x:t>
        </x:is>
      </x:c>
      <x:c r="B4" s="69" t="inlineStr">
        <x:is>
          <x:t xml:space="preserve">formato</x:t>
        </x:is>
      </x:c>
      <x:c r="C4" s="69" t="inlineStr">
        <x:is>
          <x:t xml:space="preserve">likes</x:t>
        </x:is>
      </x:c>
      <x:c r="D4" s="69" t="inlineStr">
        <x:is>
          <x:t xml:space="preserve">comentarios</x:t>
        </x:is>
      </x:c>
      <x:c r="E4" s="69" t="inlineStr">
        <x:is>
          <x:t xml:space="preserve">views</x:t>
        </x:is>
      </x:c>
      <x:c r="F4" s="69" t="inlineStr">
        <x:is>
          <x:t xml:space="preserve">engajamento</x:t>
        </x:is>
      </x:c>
      <x:c r="G4" s="69" t="inlineStr">
        <x:is>
          <x:t xml:space="preserve">caption_curta</x:t>
        </x:is>
      </x:c>
      <x:c r="H4" s="69" t="inlineStr">
        <x:is>
          <x:t xml:space="preserve">url</x:t>
        </x:is>
      </x:c>
    </x:row>
    <x:row r="5" s="39" customFormat="1" ht="31.899999618530273" customHeight="1">
      <x:c r="A5" s="80" t="n">
        <x:v>46119</x:v>
      </x:c>
      <x:c r="B5" s="70" t="inlineStr">
        <x:is>
          <x:t xml:space="preserve">Carrossel</x:t>
        </x:is>
      </x:c>
      <x:c r="C5" s="76" t="n">
        <x:v>209</x:v>
      </x:c>
      <x:c r="D5" s="76" t="n">
        <x:v>7</x:v>
      </x:c>
      <x:c r="E5" s="76" t="n">
        <x:v>0</x:v>
      </x:c>
      <x:c r="F5" s="76" t="n">
        <x:v>216</x:v>
      </x:c>
      <x:c r="G5" s="70" t="inlineStr">
        <x:is>
          <x:t xml:space="preserve">Caminhar pelos corredores da maior e mais bem organizada edição da história da TecnoShow evidencia como Rio Verde dita o ritmo do mercado gl</x:t>
        </x:is>
      </x:c>
      <x:c r="H5" s="84" t="inlineStr">
        <x:is>
          <x:t xml:space="preserve">https://www.instagram.com/p/DW2Nf7dDRTB</x:t>
        </x:is>
      </x:c>
    </x:row>
    <x:row r="6" s="39" customFormat="1" ht="31.899999618530273" customHeight="1">
      <x:c r="A6" s="80" t="n">
        <x:v>46077</x:v>
      </x:c>
      <x:c r="B6" s="70" t="inlineStr">
        <x:is>
          <x:t xml:space="preserve">Carrossel</x:t>
        </x:is>
      </x:c>
      <x:c r="C6" s="76" t="n">
        <x:v>150</x:v>
      </x:c>
      <x:c r="D6" s="76" t="n">
        <x:v>33</x:v>
      </x:c>
      <x:c r="E6" s="76" t="n">
        <x:v>0</x:v>
      </x:c>
      <x:c r="F6" s="76" t="n">
        <x:v>183</x:v>
      </x:c>
      <x:c r="G6" s="70" t="inlineStr">
        <x:is>
          <x:t xml:space="preserve">A presença em peso de #LiderançasFemininas neste evento valida que o Conselho #ACIRVmulher é hoje um pilar de inteligência do mercado, um ce</x:t>
        </x:is>
      </x:c>
      <x:c r="H6" s="84" t="inlineStr">
        <x:is>
          <x:t xml:space="preserve">https://www.instagram.com/p/DVKjAIIDdIB</x:t>
        </x:is>
      </x:c>
    </x:row>
    <x:row r="7" s="39" customFormat="1" ht="31.899999618530273" customHeight="1">
      <x:c r="A7" s="80" t="n">
        <x:v>46081</x:v>
      </x:c>
      <x:c r="B7" s="70" t="inlineStr">
        <x:is>
          <x:t xml:space="preserve">Carrossel</x:t>
        </x:is>
      </x:c>
      <x:c r="C7" s="76" t="n">
        <x:v>156</x:v>
      </x:c>
      <x:c r="D7" s="76" t="n">
        <x:v>6</x:v>
      </x:c>
      <x:c r="E7" s="76" t="n">
        <x:v>0</x:v>
      </x:c>
      <x:c r="F7" s="76" t="n">
        <x:v>162</x:v>
      </x:c>
      <x:c r="G7" s="70" t="inlineStr">
        <x:is>
          <x:t xml:space="preserve">O auditório da #ACIRV cheio por lideranças em busca de capacitação demonstra que o #CaféEntreAmigos sobre a #ReformaTributária foi uma virad</x:t>
        </x:is>
      </x:c>
      <x:c r="H7" s="84" t="inlineStr">
        <x:is>
          <x:t xml:space="preserve">https://www.instagram.com/p/DVUCAzfkYRu</x:t>
        </x:is>
      </x:c>
    </x:row>
    <x:row r="8" s="39" customFormat="1" ht="31.899999618530273" customHeight="1">
      <x:c r="A8" s="80" t="n">
        <x:v>46072</x:v>
      </x:c>
      <x:c r="B8" s="70" t="inlineStr">
        <x:is>
          <x:t xml:space="preserve">Carrossel</x:t>
        </x:is>
      </x:c>
      <x:c r="C8" s="76" t="n">
        <x:v>96</x:v>
      </x:c>
      <x:c r="D8" s="76" t="n">
        <x:v>10</x:v>
      </x:c>
      <x:c r="E8" s="76" t="n">
        <x:v>0</x:v>
      </x:c>
      <x:c r="F8" s="76" t="n">
        <x:v>106</x:v>
      </x:c>
      <x:c r="G8" s="70" t="inlineStr">
        <x:is>
          <x:t xml:space="preserve">A autonomia do comércio local de hortifruti não é apenas uma demanda logística, é uma questão de crescimento econômico para Rio Verde. 🚜📈 Re</x:t>
        </x:is>
      </x:c>
      <x:c r="H8" s="84" t="inlineStr">
        <x:is>
          <x:t xml:space="preserve">https://www.instagram.com/p/DU8gUwkDcyS</x:t>
        </x:is>
      </x:c>
    </x:row>
    <x:row r="9" s="39" customFormat="1" ht="31.899999618530273" customHeight="1">
      <x:c r="A9" s="80" t="n">
        <x:v>46113</x:v>
      </x:c>
      <x:c r="B9" s="70" t="inlineStr">
        <x:is>
          <x:t xml:space="preserve">Reels</x:t>
        </x:is>
      </x:c>
      <x:c r="C9" s="76" t="n">
        <x:v>89</x:v>
      </x:c>
      <x:c r="D9" s="76" t="n">
        <x:v>1</x:v>
      </x:c>
      <x:c r="E9" s="76" t="n">
        <x:v>1476</x:v>
      </x:c>
      <x:c r="F9" s="76" t="n">
        <x:v>90</x:v>
      </x:c>
      <x:c r="G9" s="70" t="inlineStr">
        <x:is>
          <x:t xml:space="preserve">Quando a insegurança ameaçou o setor produtivo no passado, a articulação empresarial não recuou, mas viabilizou uma obra estrutural de 27 mi</x:t>
        </x:is>
      </x:c>
      <x:c r="H9" s="84" t="inlineStr">
        <x:is>
          <x:t xml:space="preserve">https://www.instagram.com/p/DWmjQ9ekQYr</x:t>
        </x:is>
      </x:c>
    </x:row>
    <x:row r="10" s="39" customFormat="1" ht="31.899999618530273" customHeight="1">
      <x:c r="A10" s="80" t="n">
        <x:v>46079</x:v>
      </x:c>
      <x:c r="B10" s="70" t="inlineStr">
        <x:is>
          <x:t xml:space="preserve">Carrossel</x:t>
        </x:is>
      </x:c>
      <x:c r="C10" s="76" t="n">
        <x:v>69</x:v>
      </x:c>
      <x:c r="D10" s="76" t="n">
        <x:v>2</x:v>
      </x:c>
      <x:c r="E10" s="76" t="n">
        <x:v>0</x:v>
      </x:c>
      <x:c r="F10" s="76" t="n">
        <x:v>71</x:v>
      </x:c>
      <x:c r="G10" s="70" t="inlineStr">
        <x:is>
          <x:t xml:space="preserve">A #ACIRV esteve presente em um momento histórico para o fortalecimento da segurança e do setor produtivo de Rio Verde. O presidente, Sr. Jos</x:t>
        </x:is>
      </x:c>
      <x:c r="H10" s="84" t="inlineStr">
        <x:is>
          <x:t xml:space="preserve">https://www.instagram.com/p/DVPEpjskrus</x:t>
        </x:is>
      </x:c>
    </x:row>
    <x:row r="11" s="39" customFormat="1" ht="31.899999618530273" customHeight="1">
      <x:c r="A11" s="80" t="n">
        <x:v>46114</x:v>
      </x:c>
      <x:c r="B11" s="70" t="inlineStr">
        <x:is>
          <x:t xml:space="preserve">Carrossel</x:t>
        </x:is>
      </x:c>
      <x:c r="C11" s="76" t="n">
        <x:v>60</x:v>
      </x:c>
      <x:c r="D11" s="76" t="n">
        <x:v>4</x:v>
      </x:c>
      <x:c r="E11" s="76" t="n">
        <x:v>0</x:v>
      </x:c>
      <x:c r="F11" s="76" t="n">
        <x:v>64</x:v>
      </x:c>
      <x:c r="G11" s="70" t="inlineStr">
        <x:is>
          <x:t xml:space="preserve">O alinhamento entre as principais lideranças dita o ritmo da economia goiana pelos próximos meses. O encontro que definiu a largada da #Expo</x:t>
        </x:is>
      </x:c>
      <x:c r="H11" s="84" t="inlineStr">
        <x:is>
          <x:t xml:space="preserve">https://www.instagram.com/p/DWoOpZ9jeZe</x:t>
        </x:is>
      </x:c>
    </x:row>
    <x:row r="12" s="39" customFormat="1" ht="31.899999618530273" customHeight="1">
      <x:c r="A12" s="80" t="n">
        <x:v>46113</x:v>
      </x:c>
      <x:c r="B12" s="70" t="inlineStr">
        <x:is>
          <x:t xml:space="preserve">Carrossel</x:t>
        </x:is>
      </x:c>
      <x:c r="C12" s="76" t="n">
        <x:v>58</x:v>
      </x:c>
      <x:c r="D12" s="76" t="n">
        <x:v>6</x:v>
      </x:c>
      <x:c r="E12" s="76" t="n">
        <x:v>0</x:v>
      </x:c>
      <x:c r="F12" s="76" t="n">
        <x:v>64</x:v>
      </x:c>
      <x:c r="G12" s="70" t="inlineStr">
        <x:is>
          <x:t xml:space="preserve">Uma sala cheia e cadernos abertos provam que o empresário de Rio Verde entendeu a regra do jogo: dominar o perfil comportamental da equipe é</x:t>
        </x:is>
      </x:c>
      <x:c r="H12" s="84" t="inlineStr">
        <x:is>
          <x:t xml:space="preserve">https://www.instagram.com/p/DWmOuMgDksi</x:t>
        </x:is>
      </x:c>
    </x:row>
    <x:row r="13" s="39" customFormat="1" ht="31.899999618530273" customHeight="1">
      <x:c r="A13" s="80" t="n">
        <x:v>46111</x:v>
      </x:c>
      <x:c r="B13" s="70" t="inlineStr">
        <x:is>
          <x:t xml:space="preserve">Reels</x:t>
        </x:is>
      </x:c>
      <x:c r="C13" s="76" t="n">
        <x:v>55</x:v>
      </x:c>
      <x:c r="D13" s="76" t="n">
        <x:v>9</x:v>
      </x:c>
      <x:c r="E13" s="76" t="n">
        <x:v>1274</x:v>
      </x:c>
      <x:c r="F13" s="76" t="n">
        <x:v>64</x:v>
      </x:c>
      <x:c r="G13" s="70" t="inlineStr">
        <x:is>
          <x:t xml:space="preserve">A impossibilidade de crescer sozinho é uma verdade de mercado que exige a construção de pontes sólidas entre lideranças para sustentar o ava</x:t>
        </x:is>
      </x:c>
      <x:c r="H13" s="84" t="inlineStr">
        <x:is>
          <x:t xml:space="preserve">https://www.instagram.com/p/DWhaTH_EW9t</x:t>
        </x:is>
      </x:c>
    </x:row>
    <x:row r="14" s="39" customFormat="1" ht="31.899999618530273" customHeight="1">
      <x:c r="A14" s="80" t="n">
        <x:v>46083</x:v>
      </x:c>
      <x:c r="B14" s="70" t="inlineStr">
        <x:is>
          <x:t xml:space="preserve">Carrossel</x:t>
        </x:is>
      </x:c>
      <x:c r="C14" s="76" t="n">
        <x:v>60</x:v>
      </x:c>
      <x:c r="D14" s="76" t="n">
        <x:v>2</x:v>
      </x:c>
      <x:c r="E14" s="76" t="n">
        <x:v>0</x:v>
      </x:c>
      <x:c r="F14" s="76" t="n">
        <x:v>62</x:v>
      </x:c>
      <x:c r="G14" s="70" t="inlineStr">
        <x:is>
          <x:t xml:space="preserve">Buscar capacitação técnica, ocupar cargos de liderança e debater políticas públicas para o empreendedorismo feminino em Brasília são passos </x:t>
        </x:is>
      </x:c>
      <x:c r="H14" s="84" t="inlineStr">
        <x:is>
          <x:t xml:space="preserve">https://www.instagram.com/p/DVYqGSJDR1U</x:t>
        </x:is>
      </x:c>
    </x:row>
    <x:row r="15" s="39" customFormat="1" ht="31.899999618530273" customHeight="1">
      <x:c r="A15" s="80" t="n">
        <x:v>46087</x:v>
      </x:c>
      <x:c r="B15" s="70" t="inlineStr">
        <x:is>
          <x:t xml:space="preserve">Carrossel</x:t>
        </x:is>
      </x:c>
      <x:c r="C15" s="76" t="n">
        <x:v>54</x:v>
      </x:c>
      <x:c r="D15" s="76" t="n">
        <x:v>5</x:v>
      </x:c>
      <x:c r="E15" s="76" t="n">
        <x:v>0</x:v>
      </x:c>
      <x:c r="F15" s="76" t="n">
        <x:v>59</x:v>
      </x:c>
      <x:c r="G15" s="70" t="inlineStr">
        <x:is>
          <x:t xml:space="preserve">O ritmo do varejo depende de um trânsito urbano fluído, e a conquista da permanência de três horas na #ÁreaVerde comprova que a voz da ACIRV</x:t>
        </x:is>
      </x:c>
      <x:c r="H15" s="84" t="inlineStr">
        <x:is>
          <x:t xml:space="preserve">https://www.instagram.com/p/DVjkQFRiUAc</x:t>
        </x:is>
      </x:c>
    </x:row>
    <x:row r="16" s="39" customFormat="1" ht="31.899999618530273" customHeight="1">
      <x:c r="A16" s="80" t="n">
        <x:v>46093</x:v>
      </x:c>
      <x:c r="B16" s="70" t="inlineStr">
        <x:is>
          <x:t xml:space="preserve">Reels</x:t>
        </x:is>
      </x:c>
      <x:c r="C16" s="76" t="n">
        <x:v>49</x:v>
      </x:c>
      <x:c r="D16" s="76" t="n">
        <x:v>6</x:v>
      </x:c>
      <x:c r="E16" s="76" t="n">
        <x:v>1691</x:v>
      </x:c>
      <x:c r="F16" s="76" t="n">
        <x:v>55</x:v>
      </x:c>
      <x:c r="G16" s="70" t="inlineStr">
        <x:is>
          <x:t xml:space="preserve">CONVITE ESPECIAL! Vem para o StertupDAY em Rio Verde! Será dia 21/03 a partir das 08h lá no @hubrioverde!!! Link tá na bio! Vai ter startup </x:t>
        </x:is>
      </x:c>
      <x:c r="H16" s="84" t="inlineStr">
        <x:is>
          <x:t xml:space="preserve">https://www.instagram.com/p/DVyYxkBgB5w</x:t>
        </x:is>
      </x:c>
    </x:row>
    <x:row r="17" s="39" customFormat="1" ht="31.899999618530273" customHeight="1">
      <x:c r="A17" s="80" t="n">
        <x:v>46104</x:v>
      </x:c>
      <x:c r="B17" s="70" t="inlineStr">
        <x:is>
          <x:t xml:space="preserve">Reels</x:t>
        </x:is>
      </x:c>
      <x:c r="C17" s="76" t="n">
        <x:v>44</x:v>
      </x:c>
      <x:c r="D17" s="76" t="n">
        <x:v>10</x:v>
      </x:c>
      <x:c r="E17" s="76" t="n">
        <x:v>1376</x:v>
      </x:c>
      <x:c r="F17" s="76" t="n">
        <x:v>54</x:v>
      </x:c>
      <x:c r="G17" s="70" t="inlineStr">
        <x:is>
          <x:t xml:space="preserve">A maturidade de um mercado se mede pela capacidade dos seus líderes de sentarem à mesma mesa para forjar alianças que movimentam a economia.</x:t>
        </x:is>
      </x:c>
      <x:c r="H17" s="84" t="inlineStr">
        <x:is>
          <x:t xml:space="preserve">https://www.instagram.com/p/DWPb0b4D7Ml</x:t>
        </x:is>
      </x:c>
    </x:row>
    <x:row r="18" s="39" customFormat="1" ht="31.899999618530273" customHeight="1">
      <x:c r="A18" s="80" t="n">
        <x:v>46089</x:v>
      </x:c>
      <x:c r="B18" s="70" t="inlineStr">
        <x:is>
          <x:t xml:space="preserve">Carrossel</x:t>
        </x:is>
      </x:c>
      <x:c r="C18" s="76" t="n">
        <x:v>44</x:v>
      </x:c>
      <x:c r="D18" s="76" t="n">
        <x:v>8</x:v>
      </x:c>
      <x:c r="E18" s="76" t="n">
        <x:v>0</x:v>
      </x:c>
      <x:c r="F18" s="76" t="n">
        <x:v>52</x:v>
      </x:c>
      <x:c r="G18" s="70" t="inlineStr">
        <x:is>
          <x:t xml:space="preserve">Essas são as ACIRVETES: mulheres com qualidades únicas, histórias diferentes e a energia de uma equipe forte e unida. Este é o nosso pequeno</x:t>
        </x:is>
      </x:c>
      <x:c r="H18" s="84" t="inlineStr">
        <x:is>
          <x:t xml:space="preserve">https://www.instagram.com/p/DVnuOq6juuv</x:t>
        </x:is>
      </x:c>
    </x:row>
    <x:row r="19" s="39" customFormat="1" ht="31.899999618530273" customHeight="1">
      <x:c r="A19" s="80" t="n">
        <x:v>46122</x:v>
      </x:c>
      <x:c r="B19" s="70" t="inlineStr">
        <x:is>
          <x:t xml:space="preserve">Reels</x:t>
        </x:is>
      </x:c>
      <x:c r="C19" s="76" t="n">
        <x:v>44</x:v>
      </x:c>
      <x:c r="D19" s="76" t="n">
        <x:v>0</x:v>
      </x:c>
      <x:c r="E19" s="76" t="n">
        <x:v>2164</x:v>
      </x:c>
      <x:c r="F19" s="76" t="n">
        <x:v>44</x:v>
      </x:c>
      <x:c r="G19" s="70" t="inlineStr">
        <x:is>
          <x:t xml:space="preserve">José Carlos Cintra, presidente da ACIRV, destacou o grande sucesso da TecnoShow, reforçando a importância da feira para o fortalecimento do </x:t>
        </x:is>
      </x:c>
      <x:c r="H19" s="84" t="inlineStr">
        <x:is>
          <x:t xml:space="preserve">https://www.instagram.com/p/DW8k1kLDniU</x:t>
        </x:is>
      </x:c>
    </x:row>
    <x:row r="20" s="39" customFormat="1" ht="31.899999618530273" customHeight="1">
      <x:c r="A20" s="80" t="n">
        <x:v>46073</x:v>
      </x:c>
      <x:c r="B20" s="70" t="inlineStr">
        <x:is>
          <x:t xml:space="preserve">Reels</x:t>
        </x:is>
      </x:c>
      <x:c r="C20" s="76" t="n">
        <x:v>39</x:v>
      </x:c>
      <x:c r="D20" s="76" t="n">
        <x:v>2</x:v>
      </x:c>
      <x:c r="E20" s="76" t="n">
        <x:v>1601</x:v>
      </x:c>
      <x:c r="F20" s="76" t="n">
        <x:v>41</x:v>
      </x:c>
      <x:c r="G20" s="70" t="inlineStr">
        <x:is>
          <x:t xml:space="preserve">Garantir de forma antecipada presença na #SudoExpo é a manobra decisiva das empresas que buscam protagonismo e visibilidade qualificada, e a</x:t>
        </x:is>
      </x:c>
      <x:c r="H20" s="84" t="inlineStr">
        <x:is>
          <x:t xml:space="preserve">https://www.instagram.com/p/DU_fw_Gkurj</x:t>
        </x:is>
      </x:c>
    </x:row>
    <x:row r="21" s="39" customFormat="1" ht="31.899999618530273" customHeight="1">
      <x:c r="A21" s="80" t="n">
        <x:v>46073</x:v>
      </x:c>
      <x:c r="B21" s="70" t="inlineStr">
        <x:is>
          <x:t xml:space="preserve">Feed</x:t>
        </x:is>
      </x:c>
      <x:c r="C21" s="76" t="n">
        <x:v>31</x:v>
      </x:c>
      <x:c r="D21" s="76" t="n">
        <x:v>3</x:v>
      </x:c>
      <x:c r="E21" s="76" t="n">
        <x:v>0</x:v>
      </x:c>
      <x:c r="F21" s="76" t="n">
        <x:v>34</x:v>
      </x:c>
      <x:c r="G21" s="70" t="inlineStr">
        <x:is>
          <x:t xml:space="preserve">O crescimento de um ecossistema se mede pela qualidade das trocas. Quando líderes de diversos setores ocupam o mesmo espaço com intenção de </x:t>
        </x:is>
      </x:c>
      <x:c r="H21" s="84" t="inlineStr">
        <x:is>
          <x:t xml:space="preserve">https://www.instagram.com/p/DU_eHLrkcJc</x:t>
        </x:is>
      </x:c>
    </x:row>
    <x:row r="22" s="39" customFormat="1" ht="31.899999618530273" customHeight="1">
      <x:c r="A22" s="80" t="n">
        <x:v>46114</x:v>
      </x:c>
      <x:c r="B22" s="70" t="inlineStr">
        <x:is>
          <x:t xml:space="preserve">Feed</x:t>
        </x:is>
      </x:c>
      <x:c r="C22" s="76" t="n">
        <x:v>29</x:v>
      </x:c>
      <x:c r="D22" s="76" t="n">
        <x:v>2</x:v>
      </x:c>
      <x:c r="E22" s="76" t="n">
        <x:v>0</x:v>
      </x:c>
      <x:c r="F22" s="76" t="n">
        <x:v>31</x:v>
      </x:c>
      <x:c r="G22" s="70" t="inlineStr">
        <x:is>
          <x:t xml:space="preserve">O desenvolvimento econômico contínuo exige alinhamento direto entre a formação de novos talentos e as demandas do setor produtivo. Este é o </x:t>
        </x:is>
      </x:c>
      <x:c r="H22" s="84" t="inlineStr">
        <x:is>
          <x:t xml:space="preserve">https://www.instagram.com/p/DWoN4mpjVC_</x:t>
        </x:is>
      </x:c>
    </x:row>
    <x:row r="23" s="39" customFormat="1" ht="31.899999618530273" customHeight="1">
      <x:c r="A23" s="80" t="n">
        <x:v>46114</x:v>
      </x:c>
      <x:c r="B23" s="70" t="inlineStr">
        <x:is>
          <x:t xml:space="preserve">Carrossel</x:t>
        </x:is>
      </x:c>
      <x:c r="C23" s="76" t="n">
        <x:v>30</x:v>
      </x:c>
      <x:c r="D23" s="76" t="n">
        <x:v>0</x:v>
      </x:c>
      <x:c r="E23" s="76" t="n">
        <x:v>0</x:v>
      </x:c>
      <x:c r="F23" s="76" t="n">
        <x:v>30</x:v>
      </x:c>
      <x:c r="G23" s="70" t="inlineStr">
        <x:is>
          <x:t xml:space="preserve">Compreender a infraestrutura que move o nosso setor produtivo é o passo principal para planejar a expansão de qualquer negócio local. Recebe</x:t>
        </x:is>
      </x:c>
      <x:c r="H23" s="84" t="inlineStr">
        <x:is>
          <x:t xml:space="preserve">https://www.instagram.com/p/DWpIiXwEWqY</x:t>
        </x:is>
      </x:c>
    </x:row>
    <x:row r="24" s="39" customFormat="1" ht="31.899999618530273" customHeight="1">
      <x:c r="A24" s="80" t="n">
        <x:v>46076</x:v>
      </x:c>
      <x:c r="B24" s="70" t="inlineStr">
        <x:is>
          <x:t xml:space="preserve">Reels</x:t>
        </x:is>
      </x:c>
      <x:c r="C24" s="76" t="n">
        <x:v>29</x:v>
      </x:c>
      <x:c r="D24" s="76" t="n">
        <x:v>1</x:v>
      </x:c>
      <x:c r="E24" s="76" t="n">
        <x:v>688</x:v>
      </x:c>
      <x:c r="F24" s="76" t="n">
        <x:v>30</x:v>
      </x:c>
      <x:c r="G24" s="70" t="inlineStr">
        <x:is>
          <x:t xml:space="preserve">A maior feira multissetorial do Centro-Oeste já tem data para acontecer. 🗓 9 a 12 de setembro de 2026 📍 Rio Verde – GO A Sudoexpo 2026 chega</x:t>
        </x:is>
      </x:c>
      <x:c r="H24" s="84" t="inlineStr">
        <x:is>
          <x:t xml:space="preserve">https://www.instagram.com/p/DVHT4DQkk_Z</x:t>
        </x:is>
      </x:c>
    </x:row>
    <x:row r="25" s="39" customFormat="1" ht="31.899999618530273" customHeight="1">
      <x:c r="A25" s="80" t="n">
        <x:v>46080</x:v>
      </x:c>
      <x:c r="B25" s="70" t="inlineStr">
        <x:is>
          <x:t xml:space="preserve">Feed</x:t>
        </x:is>
      </x:c>
      <x:c r="C25" s="76" t="n">
        <x:v>29</x:v>
      </x:c>
      <x:c r="D25" s="76" t="n">
        <x:v>0</x:v>
      </x:c>
      <x:c r="E25" s="76" t="n">
        <x:v>0</x:v>
      </x:c>
      <x:c r="F25" s="76" t="n">
        <x:v>29</x:v>
      </x:c>
      <x:c r="G25" s="70" t="inlineStr">
        <x:is>
          <x:t xml:space="preserve">As alianças comerciais mais sólidas nascem de conversas estruturadas para gerar conexão, e a primeira agenda para construir essas conexões e</x:t>
        </x:is>
      </x:c>
      <x:c r="H25" s="84" t="inlineStr">
        <x:is>
          <x:t xml:space="preserve">https://www.instagram.com/p/DVRCP2lDTnx</x:t>
        </x:is>
      </x:c>
    </x:row>
    <x:row r="26" s="39" customFormat="1" ht="31.899999618530273" customHeight="1">
      <x:c r="A26" s="80" t="n">
        <x:v>46080</x:v>
      </x:c>
      <x:c r="B26" s="70" t="inlineStr">
        <x:is>
          <x:t xml:space="preserve">Reels</x:t>
        </x:is>
      </x:c>
      <x:c r="C26" s="76" t="n">
        <x:v>27</x:v>
      </x:c>
      <x:c r="D26" s="76" t="n">
        <x:v>0</x:v>
      </x:c>
      <x:c r="E26" s="76" t="n">
        <x:v>514</x:v>
      </x:c>
      <x:c r="F26" s="76" t="n">
        <x:v>27</x:v>
      </x:c>
      <x:c r="G26" s="70" t="inlineStr">
        <x:is>
          <x:t xml:space="preserve">A Sudoexpo não é apenas um evento. É um símbolo do potencial produtivo e inovador de Goiás. Um ambiente criado para gerar conexões reais, op</x:t>
        </x:is>
      </x:c>
      <x:c r="H26" s="84" t="inlineStr">
        <x:is>
          <x:t xml:space="preserve">https://www.instagram.com/p/DVRAgzljgzF</x:t>
        </x:is>
      </x:c>
    </x:row>
    <x:row r="27" s="39" customFormat="1" ht="31.899999618530273" customHeight="1">
      <x:c r="A27" s="80" t="n">
        <x:v>46114</x:v>
      </x:c>
      <x:c r="B27" s="70" t="inlineStr">
        <x:is>
          <x:t xml:space="preserve">Reels</x:t>
        </x:is>
      </x:c>
      <x:c r="C27" s="76" t="n">
        <x:v>21</x:v>
      </x:c>
      <x:c r="D27" s="76" t="n">
        <x:v>1</x:v>
      </x:c>
      <x:c r="E27" s="76" t="n">
        <x:v>722</x:v>
      </x:c>
      <x:c r="F27" s="76" t="n">
        <x:v>22</x:v>
      </x:c>
      <x:c r="G27" s="70" t="inlineStr">
        <x:is>
          <x:t xml:space="preserve">Sobreviver a 18 anos de mercado exige mais do que um bom produto ou serviço. Exige uma rede de representatividade que defenda o seu setor em</x:t>
        </x:is>
      </x:c>
      <x:c r="H27" s="84" t="inlineStr">
        <x:is>
          <x:t xml:space="preserve">https://www.instagram.com/p/DWo-GnskVys</x:t>
        </x:is>
      </x:c>
    </x:row>
    <x:row r="28" s="39" customFormat="1" ht="31.899999618530273" customHeight="1">
      <x:c r="A28" s="80" t="n">
        <x:v>46099</x:v>
      </x:c>
      <x:c r="B28" s="70" t="inlineStr">
        <x:is>
          <x:t xml:space="preserve">Feed</x:t>
        </x:is>
      </x:c>
      <x:c r="C28" s="76" t="n">
        <x:v>3</x:v>
      </x:c>
      <x:c r="D28" s="76" t="n">
        <x:v>17</x:v>
      </x:c>
      <x:c r="E28" s="76" t="n">
        <x:v>0</x:v>
      </x:c>
      <x:c r="F28" s="76" t="n">
        <x:v>20</x:v>
      </x:c>
      <x:c r="G28" s="70" t="inlineStr">
        <x:is>
          <x:t xml:space="preserve">Liderança produtiva exige um alicerce emocional robusto, capaz de sustentar decisões estratégicas sem o esgotamento da própria essência. No </x:t>
        </x:is>
      </x:c>
      <x:c r="H28" s="84" t="inlineStr">
        <x:is>
          <x:t xml:space="preserve">https://www.instagram.com/p/DWBwp61jTHK</x:t>
        </x:is>
      </x:c>
    </x:row>
    <x:row r="29" s="39" customFormat="1" ht="31.899999618530273" customHeight="1">
      <x:c r="A29" s="80" t="n">
        <x:v>46083</x:v>
      </x:c>
      <x:c r="B29" s="70" t="inlineStr">
        <x:is>
          <x:t xml:space="preserve">Feed</x:t>
        </x:is>
      </x:c>
      <x:c r="C29" s="76" t="n">
        <x:v>18</x:v>
      </x:c>
      <x:c r="D29" s="76" t="n">
        <x:v>0</x:v>
      </x:c>
      <x:c r="E29" s="76" t="n">
        <x:v>0</x:v>
      </x:c>
      <x:c r="F29" s="76" t="n">
        <x:v>18</x:v>
      </x:c>
      <x:c r="G29" s="70" t="inlineStr">
        <x:is>
          <x:t xml:space="preserve">“A Sudoexpo é mais do que uma feira: é um símbolo do potencial produtivo e inovador da nossa região.” — José Carlos Cintra, presidente da AC</x:t>
        </x:is>
      </x:c>
      <x:c r="H29" s="84" t="inlineStr">
        <x:is>
          <x:t xml:space="preserve">https://www.instagram.com/p/DVY1zSvjTP_</x:t>
        </x:is>
      </x:c>
    </x:row>
  </x:sheetData>
  <x:mergeCells>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0" style="67" customWidth="1"/>
    <x:col min="3" max="3" width="16" style="67" customWidth="1"/>
    <x:col min="4" max="4" width="12" style="67" customWidth="1"/>
    <x:col min="5" max="5" width="20" style="67" customWidth="1"/>
    <x:col min="6" max="6" width="19" style="67" customWidth="1"/>
    <x:col min="7" max="7" width="13" style="67" customWidth="1"/>
    <x:col min="8" max="8" width="10" style="67" customWidth="1"/>
    <x:col min="9" max="9" width="13" style="67" customWidth="1"/>
    <x:col min="10" max="11" width="19" style="67" customWidth="1"/>
    <x:col min="12" max="12" width="36" style="67" customWidth="1"/>
    <x:col min="13" max="13" width="45" style="67" customWidth="1"/>
  </x:cols>
  <x:sheetData>
    <x:row r="1" s="39" customFormat="1" ht="20.450000762939453" customHeight="1">
      <x:c r="A1" s="68" t="inlineStr">
        <x:is>
          <x:t xml:space="preserve">Instagram 200 Posts</x:t>
        </x:is>
      </x:c>
    </x:row>
    <x:row r="2" s="39" customFormat="1" ht="15" customHeight="1">
      <x:c r="A2" s="74" t="inlineStr">
        <x:is>
          <x:t xml:space="preserve">Export raw do Instagram com 200 posts e métricas por conteúdo.</x:t>
        </x:is>
      </x:c>
    </x:row>
    <x:row r="4" s="39" customFormat="1" ht="15" customHeight="1">
      <x:c r="A4" s="69" t="inlineStr">
        <x:is>
          <x:t xml:space="preserve">data_publicacao</x:t>
        </x:is>
      </x:c>
      <x:c r="B4" s="69" t="inlineStr">
        <x:is>
          <x:t xml:space="preserve">mes</x:t>
        </x:is>
      </x:c>
      <x:c r="C4" s="69" t="inlineStr">
        <x:is>
          <x:t xml:space="preserve">visitas_perfil</x:t>
        </x:is>
      </x:c>
      <x:c r="D4" s="69" t="inlineStr">
        <x:is>
          <x:t xml:space="preserve">impressoes</x:t>
        </x:is>
      </x:c>
      <x:c r="E4" s="69" t="inlineStr">
        <x:is>
          <x:t xml:space="preserve">seguidores_gerados</x:t>
        </x:is>
      </x:c>
      <x:c r="F4" s="69" t="inlineStr">
        <x:is>
          <x:t xml:space="preserve">contas_alcancadas</x:t>
        </x:is>
      </x:c>
      <x:c r="G4" s="69" t="inlineStr">
        <x:is>
          <x:t xml:space="preserve">salvamentos</x:t>
        </x:is>
      </x:c>
      <x:c r="H4" s="69" t="inlineStr">
        <x:is>
          <x:t xml:space="preserve">likes</x:t>
        </x:is>
      </x:c>
      <x:c r="I4" s="69" t="inlineStr">
        <x:is>
          <x:t xml:space="preserve">comentarios</x:t>
        </x:is>
      </x:c>
      <x:c r="J4" s="69" t="inlineStr">
        <x:is>
          <x:t xml:space="preserve">compartilhamentos</x:t>
        </x:is>
      </x:c>
      <x:c r="K4" s="69" t="inlineStr">
        <x:is>
          <x:t xml:space="preserve">acoes_engajamento</x:t>
        </x:is>
      </x:c>
      <x:c r="L4" s="69" t="inlineStr">
        <x:is>
          <x:t xml:space="preserve">uri</x:t>
        </x:is>
      </x:c>
      <x:c r="M4" s="69" t="inlineStr">
        <x:is>
          <x:t xml:space="preserve">caption</x:t>
        </x:is>
      </x:c>
    </x:row>
    <x:row r="5" s="39" customFormat="1" ht="236.6999969482422" customHeight="1">
      <x:c r="A5" s="80" t="n">
        <x:v>46122</x:v>
      </x:c>
      <x:c r="B5" s="70" t="inlineStr">
        <x:is>
          <x:t xml:space="preserve">2026-04</x:t>
        </x:is>
      </x:c>
      <x:c r="C5" s="76" t="n">
        <x:v>0</x:v>
      </x:c>
      <x:c r="D5" s="76" t="n">
        <x:v>93</x:v>
      </x:c>
      <x:c r="E5" s="76" t="n">
        <x:v>0</x:v>
      </x:c>
      <x:c r="F5" s="76" t="n">
        <x:v>88</x:v>
      </x:c>
      <x:c r="G5" s="76" t="n">
        <x:v>0</x:v>
      </x:c>
      <x:c r="H5" s="76" t="n">
        <x:v>2</x:v>
      </x:c>
      <x:c r="I5" s="76" t="n">
        <x:v>0</x:v>
      </x:c>
      <x:c r="J5" s="76" t="n">
        <x:v>2</x:v>
      </x:c>
      <x:c r="K5" s="76" t="n">
        <x:v>4</x:v>
      </x:c>
      <x:c r="L5" s="70" t="inlineStr">
        <x:is>
          <x:t xml:space="preserve">media/other/18037605881584954.heic</x:t>
        </x:is>
      </x:c>
      <x:c r="M5" s="70" t="inlineStr">
        <x:is>
          <x:t xml:space="preserve">A falta de alinhamento e a comunicação falha custam caro para qualquer negócio. O mercado atual exige profissionais capazes de tomar decisões rápidas e precisas sob pressão contínua. 
A oficina On Board utiliza a dinâmica intensa do jogo de tabuleiro Pandemic para simular um ambiente corporativo altamente desafiador. Você vai testar suas habilidades e fundar bases sólidas de trabalho em equipe. Quem hesita durante o processo, perde o controle das operações e dos resultados. Quem colabora de forma inteligente, avança.
Esta imersão prática desenvolve a sua #Gestão de tempo e a #Liderança em cenários de alta complexidade. A parceria educacional com o @sebrae reforça o compromisso da #ACIRV em entregar ferramentas aos participantes, provando que o método de #ConectarParaCrescer blinda o seu #Negócios contra falhas de comunicação e liderança.
Desenvolva sua capacidade de resolução de problemas, no dia 14/04, às 19h, em nossa sede. O acesso para inscrição está disponível no link da bio.
Aqui, ninguém cresce isolado. A gente cresce conectado.</x:t>
        </x:is>
      </x:c>
    </x:row>
    <x:row r="6" s="39" customFormat="1" ht="52.400001525878906" customHeight="1">
      <x:c r="A6" s="80" t="n">
        <x:v>46121</x:v>
      </x:c>
      <x:c r="B6" s="70" t="inlineStr">
        <x:is>
          <x:t xml:space="preserve">2026-04</x:t>
        </x:is>
      </x:c>
      <x:c r="C6" s="76" t="n">
        <x:v>0</x:v>
      </x:c>
      <x:c r="D6" s="76" t="n">
        <x:v>65</x:v>
      </x:c>
      <x:c r="E6" s="76" t="n">
        <x:v>0</x:v>
      </x:c>
      <x:c r="F6" s="76" t="n">
        <x:v>63</x:v>
      </x:c>
      <x:c r="G6" s="76" t="n">
        <x:v>0</x:v>
      </x:c>
      <x:c r="H6" s="76" t="n">
        <x:v>1</x:v>
      </x:c>
      <x:c r="I6" s="76" t="n">
        <x:v>0</x:v>
      </x:c>
      <x:c r="J6" s="76" t="n">
        <x:v>0</x:v>
      </x:c>
      <x:c r="K6" s="76" t="n">
        <x:v>1</x:v>
      </x:c>
      <x:c r="L6" s="70" t="inlineStr">
        <x:is>
          <x:t xml:space="preserve">media/other/18115844122658725.jpg</x:t>
        </x:is>
      </x:c>
      <x:c r="M6" s="70" t="inlineStr">
        <x:is>
          <x:t xml:space="preserve">Na Sudoexpo, você se conecta diretamente com quem decide, compra e investe.
É relacionamento acelerado.
É mercado concentrado.
É resultado potencializado.</x:t>
        </x:is>
      </x:c>
    </x:row>
    <x:row r="7" s="39" customFormat="1" ht="124.05000305175781" customHeight="1">
      <x:c r="A7" s="80" t="n">
        <x:v>46119</x:v>
      </x:c>
      <x:c r="B7" s="70" t="inlineStr">
        <x:is>
          <x:t xml:space="preserve">2026-04</x:t>
        </x:is>
      </x:c>
      <x:c r="C7" s="76" t="n">
        <x:v>0</x:v>
      </x:c>
      <x:c r="D7" s="76" t="n">
        <x:v>323</x:v>
      </x:c>
      <x:c r="E7" s="76" t="n">
        <x:v>0</x:v>
      </x:c>
      <x:c r="F7" s="76" t="n">
        <x:v>209</x:v>
      </x:c>
      <x:c r="G7" s="76" t="n">
        <x:v>1</x:v>
      </x:c>
      <x:c r="H7" s="76" t="n">
        <x:v>8</x:v>
      </x:c>
      <x:c r="I7" s="76" t="n">
        <x:v>0</x:v>
      </x:c>
      <x:c r="J7" s="76" t="n">
        <x:v>0</x:v>
      </x:c>
      <x:c r="K7" s="76" t="n">
        <x:v>9</x:v>
      </x:c>
      <x:c r="L7" s="70" t="inlineStr">
        <x:is>
          <x:t xml:space="preserve">media/other/17880083508545725.heic</x:t>
        </x:is>
      </x:c>
      <x:c r="M7" s="70" t="inlineStr">
        <x:is>
          <x:t xml:space="preserve">Vem aí o Fórum da Indústria da ACIRV. Dia 27 de maio, às 7h30, em Rio Verde.
O encontro propõe um olhar direto sobre os desafios do setor, com espaço para troca, análise e construção de caminhos possíveis para a indústria local.
Promovido pela ACIRV, o fórum reúne empresários e lideranças para fortalecer a indústria e impulsionar o desenvolvimento da nossa região.
Aqui, ninguém cresce isolado. A gente cresce conectado.</x:t>
        </x:is>
      </x:c>
    </x:row>
    <x:row r="8" s="39" customFormat="1" ht="62.650001525878906" customHeight="1">
      <x:c r="A8" s="80" t="n">
        <x:v>46118</x:v>
      </x:c>
      <x:c r="B8" s="70" t="inlineStr">
        <x:is>
          <x:t xml:space="preserve">2026-04</x:t>
        </x:is>
      </x:c>
      <x:c r="C8" s="76" t="n">
        <x:v>2</x:v>
      </x:c>
      <x:c r="D8" s="76" t="n">
        <x:v>133</x:v>
      </x:c>
      <x:c r="E8" s="76" t="n">
        <x:v>0</x:v>
      </x:c>
      <x:c r="F8" s="76" t="n">
        <x:v>124</x:v>
      </x:c>
      <x:c r="G8" s="76" t="n">
        <x:v>1</x:v>
      </x:c>
      <x:c r="H8" s="76" t="n">
        <x:v>2</x:v>
      </x:c>
      <x:c r="I8" s="76" t="n">
        <x:v>1</x:v>
      </x:c>
      <x:c r="J8" s="76" t="n">
        <x:v>0</x:v>
      </x:c>
      <x:c r="K8" s="76" t="n">
        <x:v>4</x:v>
      </x:c>
      <x:c r="L8" s="70" t="inlineStr">
        <x:is>
          <x:t xml:space="preserve">media/other/18065784761663252.jpg</x:t>
        </x:is>
      </x:c>
      <x:c r="M8" s="70" t="inlineStr">
        <x:is>
          <x:t xml:space="preserve">A Sudoexpo foi pensada para gerar:
🤝 Conexões
📈 Oportunidades comerciais
💼 Relacionamentos estratégicos
Quer transformar presença em resultado? Fale com nossa equipe comercial.</x:t>
        </x:is>
      </x:c>
    </x:row>
    <x:row r="9" s="39" customFormat="1" ht="31.899999618530273" customHeight="1">
      <x:c r="A9" s="80" t="n">
        <x:v>46115</x:v>
      </x:c>
      <x:c r="B9" s="70" t="inlineStr">
        <x:is>
          <x:t xml:space="preserve">2026-04</x:t>
        </x:is>
      </x:c>
      <x:c r="C9" s="76" t="n">
        <x:v>3</x:v>
      </x:c>
      <x:c r="D9" s="76" t="n">
        <x:v>387</x:v>
      </x:c>
      <x:c r="E9" s="76" t="n">
        <x:v>0</x:v>
      </x:c>
      <x:c r="F9" s="76" t="n">
        <x:v>368</x:v>
      </x:c>
      <x:c r="G9" s="76" t="n">
        <x:v>0</x:v>
      </x:c>
      <x:c r="H9" s="76" t="n">
        <x:v>28</x:v>
      </x:c>
      <x:c r="I9" s="76" t="n">
        <x:v>2</x:v>
      </x:c>
      <x:c r="J9" s="76" t="n">
        <x:v>0</x:v>
      </x:c>
      <x:c r="K9" s="76" t="n">
        <x:v>30</x:v>
      </x:c>
      <x:c r="L9" s="70" t="inlineStr">
        <x:is>
          <x:t xml:space="preserve">media/other/18090843191152588.jpg</x:t>
        </x:is>
      </x:c>
      <x:c r="M9" s="70" t="inlineStr">
        <x:is>
          <x:t xml:space="preserve">Realizada pela ACIRV, a Sudoexpo representa o compromisso da entidade com o crescimento sustentável de Rio Verde e região.
Uma feira construída com visão, planejamento e parceria.</x:t>
        </x:is>
      </x:c>
    </x:row>
    <x:row r="10" s="39" customFormat="1" ht="206" customHeight="1">
      <x:c r="A10" s="80" t="n">
        <x:v>46114</x:v>
      </x:c>
      <x:c r="B10" s="70" t="inlineStr">
        <x:is>
          <x:t xml:space="preserve">2026-04</x:t>
        </x:is>
      </x:c>
      <x:c r="C10" s="76" t="n">
        <x:v>0</x:v>
      </x:c>
      <x:c r="D10" s="76" t="n">
        <x:v>514</x:v>
      </x:c>
      <x:c r="E10" s="76" t="n">
        <x:v>0</x:v>
      </x:c>
      <x:c r="F10" s="76" t="n">
        <x:v>484</x:v>
      </x:c>
      <x:c r="G10" s="76" t="n">
        <x:v>0</x:v>
      </x:c>
      <x:c r="H10" s="76" t="n">
        <x:v>29</x:v>
      </x:c>
      <x:c r="I10" s="76" t="n">
        <x:v>2</x:v>
      </x:c>
      <x:c r="J10" s="76" t="n">
        <x:v>0</x:v>
      </x:c>
      <x:c r="K10" s="76" t="n">
        <x:v>31</x:v>
      </x:c>
      <x:c r="L10" s="70" t="inlineStr">
        <x:is>
          <x:t xml:space="preserve">media/other/18087822296261434.heic</x:t>
        </x:is>
      </x:c>
      <x:c r="M10" s="70" t="inlineStr">
        <x:is>
          <x:t xml:space="preserve">O desenvolvimento econômico contínuo exige alinhamento direto entre a formação de novos talentos e as demandas do setor produtivo. Este é o diagnóstico que pautou a visita institucional da nossa diretoria ao Reitor da UniRV, Alberto Barella. 
Sentar à mesa com lideranças acadêmicas significa construir soluções claras para o futuro comercial.
Esta troca de visão e planejamento prova que #ConectarParaCrescer funciona como um método prático de expansão para toda a base produtiva de #RioVerde. O diálogo aproxima o rigor acadêmico das necessidades do #Empreendedorismo.
Sem esse alinhamento profundo entre educação e negócios, o comércio perde a chance de gerar #Inovação e competitividade em larga escala. 
Aqui, ninguém cresce isolado. A gente cresce conectado.</x:t>
        </x:is>
      </x:c>
    </x:row>
    <x:row r="11" s="39" customFormat="1" ht="42.150001525878906" customHeight="1">
      <x:c r="A11" s="80" t="n">
        <x:v>46113</x:v>
      </x:c>
      <x:c r="B11" s="70" t="inlineStr">
        <x:is>
          <x:t xml:space="preserve">2026-04</x:t>
        </x:is>
      </x:c>
      <x:c r="C11" s="76" t="n">
        <x:v>2</x:v>
      </x:c>
      <x:c r="D11" s="76" t="n">
        <x:v>401</x:v>
      </x:c>
      <x:c r="E11" s="76" t="n">
        <x:v>1</x:v>
      </x:c>
      <x:c r="F11" s="76" t="n">
        <x:v>356</x:v>
      </x:c>
      <x:c r="G11" s="76" t="n">
        <x:v>0</x:v>
      </x:c>
      <x:c r="H11" s="76" t="n">
        <x:v>6</x:v>
      </x:c>
      <x:c r="I11" s="76" t="n">
        <x:v>1</x:v>
      </x:c>
      <x:c r="J11" s="76" t="n">
        <x:v>2</x:v>
      </x:c>
      <x:c r="K11" s="76" t="n">
        <x:v>9</x:v>
      </x:c>
      <x:c r="L11" s="70" t="inlineStr">
        <x:is>
          <x:t xml:space="preserve">media/other/18403321978181340.jpg</x:t>
        </x:is>
      </x:c>
      <x:c r="M11" s="70" t="inlineStr">
        <x:is>
          <x:t xml:space="preserve">A comercialização dos estandes da Sudoexpo 2026 já começou — e a procura está crescendo.
Não deixe sua marca de fora da maior feira multissetorial do Sudoeste Goiano.</x:t>
        </x:is>
      </x:c>
    </x:row>
    <x:row r="12" s="39" customFormat="1" ht="31.899999618530273" customHeight="1">
      <x:c r="A12" s="80" t="n">
        <x:v>46111</x:v>
      </x:c>
      <x:c r="B12" s="70" t="inlineStr">
        <x:is>
          <x:t xml:space="preserve">2026-03</x:t>
        </x:is>
      </x:c>
      <x:c r="C12" s="76" t="n">
        <x:v>2</x:v>
      </x:c>
      <x:c r="D12" s="76" t="n">
        <x:v>272</x:v>
      </x:c>
      <x:c r="E12" s="76" t="n">
        <x:v>1</x:v>
      </x:c>
      <x:c r="F12" s="76" t="n">
        <x:v>252</x:v>
      </x:c>
      <x:c r="G12" s="76" t="n">
        <x:v>0</x:v>
      </x:c>
      <x:c r="H12" s="76" t="n">
        <x:v>13</x:v>
      </x:c>
      <x:c r="I12" s="76" t="n">
        <x:v>1</x:v>
      </x:c>
      <x:c r="J12" s="76" t="n">
        <x:v>1</x:v>
      </x:c>
      <x:c r="K12" s="76" t="n">
        <x:v>15</x:v>
      </x:c>
      <x:c r="L12" s="70" t="inlineStr">
        <x:is>
          <x:t xml:space="preserve">media/other/18048331829718928.jpg</x:t>
        </x:is>
      </x:c>
      <x:c r="M12" s="70" t="inlineStr">
        <x:is>
          <x:t xml:space="preserve">A Sudoexpo conecta setores que movem o Centro-Oeste.
Garanta sua presença no ambiente onde os negócios se encontram.</x:t>
        </x:is>
      </x:c>
    </x:row>
    <x:row r="13" s="39" customFormat="1" ht="52.400001525878906" customHeight="1">
      <x:c r="A13" s="80" t="n">
        <x:v>46108</x:v>
      </x:c>
      <x:c r="B13" s="70" t="inlineStr">
        <x:is>
          <x:t xml:space="preserve">2026-03</x:t>
        </x:is>
      </x:c>
      <x:c r="C13" s="76" t="n">
        <x:v>3</x:v>
      </x:c>
      <x:c r="D13" s="76" t="n">
        <x:v>592</x:v>
      </x:c>
      <x:c r="E13" s="76" t="n">
        <x:v>0</x:v>
      </x:c>
      <x:c r="F13" s="76" t="n">
        <x:v>543</x:v>
      </x:c>
      <x:c r="G13" s="76" t="n">
        <x:v>0</x:v>
      </x:c>
      <x:c r="H13" s="76" t="n">
        <x:v>8</x:v>
      </x:c>
      <x:c r="I13" s="76" t="n">
        <x:v>0</x:v>
      </x:c>
      <x:c r="J13" s="76" t="n">
        <x:v>2</x:v>
      </x:c>
      <x:c r="K13" s="76" t="n">
        <x:v>10</x:v>
      </x:c>
      <x:c r="L13" s="70" t="inlineStr">
        <x:is>
          <x:t xml:space="preserve">media/other/17861624382670397.jpg</x:t>
        </x:is>
      </x:c>
      <x:c r="M13" s="70" t="inlineStr">
        <x:is>
          <x:t xml:space="preserve">Rio Verde é um dos principais polos econômicos do Centro-Oeste.
A Sudoexpo é o reflexo dessa força produtiva, reunindo empresas, instituições e lideranças que movimentam a economia regional.</x:t>
        </x:is>
      </x:c>
    </x:row>
    <x:row r="14" s="39" customFormat="1" ht="144.5500030517578" customHeight="1">
      <x:c r="A14" s="80" t="n">
        <x:v>46105</x:v>
      </x:c>
      <x:c r="B14" s="70" t="inlineStr">
        <x:is>
          <x:t xml:space="preserve">2026-03</x:t>
        </x:is>
      </x:c>
      <x:c r="C14" s="76" t="n">
        <x:v>4</x:v>
      </x:c>
      <x:c r="D14" s="76" t="n">
        <x:v>507</x:v>
      </x:c>
      <x:c r="E14" s="76" t="n">
        <x:v>0</x:v>
      </x:c>
      <x:c r="F14" s="76" t="n">
        <x:v>439</x:v>
      </x:c>
      <x:c r="G14" s="76" t="n">
        <x:v>0</x:v>
      </x:c>
      <x:c r="H14" s="76" t="n">
        <x:v>9</x:v>
      </x:c>
      <x:c r="I14" s="76" t="n">
        <x:v>0</x:v>
      </x:c>
      <x:c r="J14" s="76" t="n">
        <x:v>1</x:v>
      </x:c>
      <x:c r="K14" s="76" t="n">
        <x:v>10</x:v>
      </x:c>
      <x:c r="L14" s="70" t="inlineStr">
        <x:is>
          <x:t xml:space="preserve">media/other/18020738408825944.heic</x:t>
        </x:is>
      </x:c>
      <x:c r="M14" s="70" t="inlineStr">
        <x:is>
          <x:t xml:space="preserve">A construção de alianças estratégicas é o alicerce mais robusto para quem busca escala e sustentabilidade no mercado de Rio Verde, e em apenas 48 horas, o #CONECTA abrirá as portas para essa transformação. 
O empresário que é presente na #ACIRV compreende que o networking deixa de ser uma conversa informal para se tornar uma tática de expansão comercial, provando que o movimento #ConectarParaCrescer é a ferramenta necessária para se alcançar novas oportunidades de expansão. Este encontro é o ambiente ideal para repensar modelos de negócio e conduzir parcerias que geram resultados positivos e imediatos.
Aqui, ninguém cresce isolado. A gente cresce conectado.</x:t>
        </x:is>
      </x:c>
    </x:row>
    <x:row r="15" s="39" customFormat="1" ht="62.650001525878906" customHeight="1">
      <x:c r="A15" s="80" t="n">
        <x:v>46105</x:v>
      </x:c>
      <x:c r="B15" s="70" t="inlineStr">
        <x:is>
          <x:t xml:space="preserve">2026-03</x:t>
        </x:is>
      </x:c>
      <x:c r="C15" s="76" t="n">
        <x:v>4</x:v>
      </x:c>
      <x:c r="D15" s="76" t="n">
        <x:v>335</x:v>
      </x:c>
      <x:c r="E15" s="76" t="n">
        <x:v>0</x:v>
      </x:c>
      <x:c r="F15" s="76" t="n">
        <x:v>301</x:v>
      </x:c>
      <x:c r="G15" s="76" t="n">
        <x:v>0</x:v>
      </x:c>
      <x:c r="H15" s="76" t="n">
        <x:v>10</x:v>
      </x:c>
      <x:c r="I15" s="76" t="n">
        <x:v>0</x:v>
      </x:c>
      <x:c r="J15" s="76" t="n">
        <x:v>2</x:v>
      </x:c>
      <x:c r="K15" s="76" t="n">
        <x:v>12</x:v>
      </x:c>
      <x:c r="L15" s="70" t="inlineStr">
        <x:is>
          <x:t xml:space="preserve">media/other/18088069397192203.jpg</x:t>
        </x:is>
      </x:c>
      <x:c r="M15" s="70" t="inlineStr">
        <x:is>
          <x:t xml:space="preserve">A Sudoexpo 2026 é o ambiente ideal para:
✔ Lançamentos
✔ Demonstrações
✔ Prospecção
✔ Fortalecimento de marca
Garanta seu estande.</x:t>
        </x:is>
      </x:c>
    </x:row>
    <x:row r="16" s="39" customFormat="1" ht="216.25" customHeight="1">
      <x:c r="A16" s="80" t="n">
        <x:v>46101</x:v>
      </x:c>
      <x:c r="B16" s="70" t="inlineStr">
        <x:is>
          <x:t xml:space="preserve">2026-03</x:t>
        </x:is>
      </x:c>
      <x:c r="C16" s="76" t="n">
        <x:v>10</x:v>
      </x:c>
      <x:c r="D16" s="76" t="n">
        <x:v>507</x:v>
      </x:c>
      <x:c r="E16" s="76" t="n">
        <x:v>0</x:v>
      </x:c>
      <x:c r="F16" s="76" t="n">
        <x:v>385</x:v>
      </x:c>
      <x:c r="G16" s="76" t="n">
        <x:v>1</x:v>
      </x:c>
      <x:c r="H16" s="76" t="n">
        <x:v>12</x:v>
      </x:c>
      <x:c r="I16" s="76" t="n">
        <x:v>1</x:v>
      </x:c>
      <x:c r="J16" s="76" t="n">
        <x:v>10</x:v>
      </x:c>
      <x:c r="K16" s="76" t="n">
        <x:v>24</x:v>
      </x:c>
      <x:c r="L16" s="70" t="inlineStr">
        <x:is>
          <x:t xml:space="preserve">media/other/18074251484180086.heic</x:t>
        </x:is>
      </x:c>
      <x:c r="M16" s="70" t="inlineStr">
        <x:is>
          <x:t xml:space="preserve">Liderança de alta performance exige a capacidade técnica de decifrar padrões humanos para alocar talentos com precisão e garantir uma equipe que gera impacto positivo. Você irá aprender na prática sobre perfis comportamentais e metodologia DISC na #ACIRV no dia 31/03, às 19h.
Ao dominar ferramentas de análise, o gestor deixa de atuar por intuição para conduzir sua equipe baseando-se em evidências e dados comportamentais. Esse conhecimento é oferecido a população de Rio Verde através de uma parceria do @sebrae com a #ACIRV, provando que #ConectarParaCrescer é o método fundamental para fomentar a economia de #RioVerde e para quem busca articular uma comunicação eficiente e construir um alicerce de produtividade sustentável. Nesta oficina, você desenvolve planos de ação imediatos para mitigar ruídos internos e maximizar o desempenho coletivo através de uma gestão madura.
As inscrições estão disponíveis pelo link na bio.
Aqui, ninguém cresce isolado. A gente cresce conectado.</x:t>
        </x:is>
      </x:c>
    </x:row>
    <x:row r="17" s="39" customFormat="1" ht="52.400001525878906" customHeight="1">
      <x:c r="A17" s="80" t="n">
        <x:v>46099</x:v>
      </x:c>
      <x:c r="B17" s="70" t="inlineStr">
        <x:is>
          <x:t xml:space="preserve">2026-03</x:t>
        </x:is>
      </x:c>
      <x:c r="C17" s="76" t="n">
        <x:v>2</x:v>
      </x:c>
      <x:c r="D17" s="76" t="n">
        <x:v>449</x:v>
      </x:c>
      <x:c r="E17" s="76" t="n">
        <x:v>0</x:v>
      </x:c>
      <x:c r="F17" s="76" t="n">
        <x:v>395</x:v>
      </x:c>
      <x:c r="G17" s="76" t="n">
        <x:v>0</x:v>
      </x:c>
      <x:c r="H17" s="76" t="n">
        <x:v>14</x:v>
      </x:c>
      <x:c r="I17" s="76" t="n">
        <x:v>1</x:v>
      </x:c>
      <x:c r="J17" s="76" t="n">
        <x:v>2</x:v>
      </x:c>
      <x:c r="K17" s="76" t="n">
        <x:v>17</x:v>
      </x:c>
      <x:c r="L17" s="70" t="inlineStr">
        <x:is>
          <x:t xml:space="preserve">media/other/18334138318300241.jpg</x:t>
        </x:is>
      </x:c>
      <x:c r="M17" s="70" t="inlineStr">
        <x:is>
          <x:t xml:space="preserve">A Sudoexpo nasce de um propósito claro: impulsionar o desenvolvimento do Sudoeste Goiano por meio de conexões que geram resultados.
📍 Estacionamento do Teatro Lauro Martins
🗓 9 a 12 de setembro de 2026</x:t>
        </x:is>
      </x:c>
    </x:row>
    <x:row r="18" s="39" customFormat="1" ht="195.75" customHeight="1">
      <x:c r="A18" s="80" t="n">
        <x:v>46099</x:v>
      </x:c>
      <x:c r="B18" s="70" t="inlineStr">
        <x:is>
          <x:t xml:space="preserve">2026-03</x:t>
        </x:is>
      </x:c>
      <x:c r="C18" s="76" t="n">
        <x:v>9</x:v>
      </x:c>
      <x:c r="D18" s="76" t="n">
        <x:v>2212</x:v>
      </x:c>
      <x:c r="E18" s="76" t="n">
        <x:v>1</x:v>
      </x:c>
      <x:c r="F18" s="76" t="n">
        <x:v>1424</x:v>
      </x:c>
      <x:c r="G18" s="76" t="n">
        <x:v>2</x:v>
      </x:c>
      <x:c r="H18" s="76" t="n">
        <x:v>70</x:v>
      </x:c>
      <x:c r="I18" s="76" t="n">
        <x:v>17</x:v>
      </x:c>
      <x:c r="J18" s="76" t="n">
        <x:v>29</x:v>
      </x:c>
      <x:c r="K18" s="76" t="n">
        <x:v>118</x:v>
      </x:c>
      <x:c r="L18" s="70" t="inlineStr">
        <x:is>
          <x:t xml:space="preserve">media/other/17919814770276603.heic</x:t>
        </x:is>
      </x:c>
      <x:c r="M18" s="70" t="inlineStr">
        <x:is>
          <x:t xml:space="preserve">Liderança produtiva exige um alicerce emocional robusto, capaz de sustentar decisões estratégicas sem o esgotamento da própria essência. No dia 26 de março, às 07h30, o Café entre Amigos Especial Mês da Mulher recebe @thallita.lopes para um diagnóstico preciso sobre como o autoconhecimento e o estabelecimento de limites saudáveis impactam diretamente a performance e a condução de negócios.
Este encontro no auditório da #ACIRV demonstra que #ConectarParaCrescer começa pela gestão eficiente da própria energia e pela clareza absoluta no posicionamento. Discutir como o autocuidado consolida relações de valor é fundamental para quem busca uma governança equilibrada e resultados no mercado atual, unindo o bem-estar pessoal à solidez profissional.
Inscreva-se pelo link na bio do nosso instagram.
Aqui, ninguém cresce isolado. A gente cresce conectado.</x:t>
        </x:is>
      </x:c>
    </x:row>
    <x:row r="19" s="39" customFormat="1" ht="195.75" customHeight="1">
      <x:c r="A19" s="80" t="n">
        <x:v>46094</x:v>
      </x:c>
      <x:c r="B19" s="70" t="inlineStr">
        <x:is>
          <x:t xml:space="preserve">2026-03</x:t>
        </x:is>
      </x:c>
      <x:c r="C19" s="76" t="n">
        <x:v>0</x:v>
      </x:c>
      <x:c r="D19" s="76" t="n">
        <x:v>860</x:v>
      </x:c>
      <x:c r="E19" s="76" t="n">
        <x:v>0</x:v>
      </x:c>
      <x:c r="F19" s="76" t="n">
        <x:v>687</x:v>
      </x:c>
      <x:c r="G19" s="76" t="n">
        <x:v>1</x:v>
      </x:c>
      <x:c r="H19" s="76" t="n">
        <x:v>29</x:v>
      </x:c>
      <x:c r="I19" s="76" t="n">
        <x:v>3</x:v>
      </x:c>
      <x:c r="J19" s="76" t="n">
        <x:v>9</x:v>
      </x:c>
      <x:c r="K19" s="76" t="n">
        <x:v>42</x:v>
      </x:c>
      <x:c r="L19" s="70" t="inlineStr">
        <x:is>
          <x:t xml:space="preserve">media/other/17866381965504218.heic</x:t>
        </x:is>
      </x:c>
      <x:c r="M19" s="70" t="inlineStr">
        <x:is>
          <x:t xml:space="preserve">O que leva um cumprimento casual virar um contrato assinado é a estrutura de um pitch de impacto, competência que o administrador e palestrante Urley Oliveira consolidou ao liderar ecossistemas de mais de 100 empresários em nossa região. 
Como sócio-franqueado da @Vox2you_RioVerde, Urley traz para a Mesa de Networking Conecta um método fundamentado em autoridade e influência para converter diálogos em resultados. Ao dominar a transição do contato ao contrato, o empreendedor assume a condução de suas negociações com clareza e intenção, validando que a estratégia de #ConectarParaCrescer é o alicerce para parcerias comerciais sólidas e duradouras. 
As vagas para esta edição já estão quase no fim, o link de inscrição para garantir sua cadeira está disponível na bio do nosso perfil.
Aqui, ninguém cresce isolado. A gente cresce conectado.</x:t>
        </x:is>
      </x:c>
    </x:row>
    <x:row r="20" s="39" customFormat="1" ht="175.3000030517578" customHeight="1">
      <x:c r="A20" s="80" t="n">
        <x:v>46094</x:v>
      </x:c>
      <x:c r="B20" s="70" t="inlineStr">
        <x:is>
          <x:t xml:space="preserve">2026-03</x:t>
        </x:is>
      </x:c>
      <x:c r="C20" s="76" t="n">
        <x:v>0</x:v>
      </x:c>
      <x:c r="D20" s="76" t="n">
        <x:v>919</x:v>
      </x:c>
      <x:c r="E20" s="76" t="n">
        <x:v>0</x:v>
      </x:c>
      <x:c r="F20" s="76" t="n">
        <x:v>811</x:v>
      </x:c>
      <x:c r="G20" s="76" t="n">
        <x:v>0</x:v>
      </x:c>
      <x:c r="H20" s="76" t="n">
        <x:v>8</x:v>
      </x:c>
      <x:c r="I20" s="76" t="n">
        <x:v>0</x:v>
      </x:c>
      <x:c r="J20" s="76" t="n">
        <x:v>3</x:v>
      </x:c>
      <x:c r="K20" s="76" t="n">
        <x:v>11</x:v>
      </x:c>
      <x:c r="L20" s="70" t="inlineStr">
        <x:is>
          <x:t xml:space="preserve">media/other/18089046539169888.heic</x:t>
        </x:is>
      </x:c>
      <x:c r="M20" s="70" t="inlineStr">
        <x:is>
          <x:t xml:space="preserve">Termos ganhado espaço nas rádios locais para democratizar informações sobre o Conecta 5° ed. prova que o networking é o ativo mais valioso do ecossistema de Rio Verde. A presença da @rcadria , @_laradutra , @tiarleycastro e @edivan.soouza na Rádio Líder e na @RioVerdeFM reforça que o projeto Conecta é a ferramenta definitiva para quem busca consolidar parcerias que geram expansão comercial.
O Conecta 5° ed. é a prova que a prática de #ConectarParaCrescer funciona como o alicerce fundamental para o fortalecimento da economia de Rio Verde. Com as vagas chegando ao limite e a procura em ritmo acelerado, garantir sua participação através do link na bio da #ACIRV é a melhor decisão para o empresário que deseja conduzir o próprio crescimento com base em alianças lucrativas.
Aqui, ninguém cresce isolado. A gente cresce conectado.</x:t>
        </x:is>
      </x:c>
    </x:row>
    <x:row r="21" s="39" customFormat="1" ht="144.5500030517578" customHeight="1">
      <x:c r="A21" s="80" t="n">
        <x:v>46093</x:v>
      </x:c>
      <x:c r="B21" s="70" t="inlineStr">
        <x:is>
          <x:t xml:space="preserve">2026-03</x:t>
        </x:is>
      </x:c>
      <x:c r="C21" s="76" t="n">
        <x:v>0</x:v>
      </x:c>
      <x:c r="D21" s="76" t="n">
        <x:v>1203</x:v>
      </x:c>
      <x:c r="E21" s="76" t="n">
        <x:v>0</x:v>
      </x:c>
      <x:c r="F21" s="76" t="n">
        <x:v>1039</x:v>
      </x:c>
      <x:c r="G21" s="76" t="n">
        <x:v>0</x:v>
      </x:c>
      <x:c r="H21" s="76" t="n">
        <x:v>29</x:v>
      </x:c>
      <x:c r="I21" s="76" t="n">
        <x:v>2</x:v>
      </x:c>
      <x:c r="J21" s="76" t="n">
        <x:v>3</x:v>
      </x:c>
      <x:c r="K21" s="76" t="n">
        <x:v>34</x:v>
      </x:c>
      <x:c r="L21" s="70" t="inlineStr">
        <x:is>
          <x:t xml:space="preserve">media/other/17878479537530817.heic</x:t>
        </x:is>
      </x:c>
      <x:c r="M21" s="70" t="inlineStr">
        <x:is>
          <x:t xml:space="preserve">A consolidação de um de negócio forte exige buscar estratégias precisas para criar alianças comerciais. Para mapear o volume de oportunidades da 5ª edição do Conecta, a especialista @rcadria e Edivan conduzirão um diagnóstico nos microfones da @rioverde.fm, nesta sexta-feira, às 7h30.
Detalhar o "como funciona" da mesa de networking do Conecta na rádio reforça que #ConectarParaCrescer é o método estrutural da #ACIRV para fortalecer o empreendedorimo local. Compreender essa dinâmica capacita o empreendedor a construir novas rotas de lucro e a repensar seu networking no mercado de Rio Verde.
Aqui, ninguém cresce isolado. A gente cresce conectado.</x:t>
        </x:is>
      </x:c>
    </x:row>
    <x:row r="22" s="39" customFormat="1" ht="165.0500030517578" customHeight="1">
      <x:c r="A22" s="80" t="n">
        <x:v>46093</x:v>
      </x:c>
      <x:c r="B22" s="70" t="inlineStr">
        <x:is>
          <x:t xml:space="preserve">2026-03</x:t>
        </x:is>
      </x:c>
      <x:c r="C22" s="76" t="n">
        <x:v>0</x:v>
      </x:c>
      <x:c r="D22" s="76" t="n">
        <x:v>685</x:v>
      </x:c>
      <x:c r="E22" s="76" t="n">
        <x:v>0</x:v>
      </x:c>
      <x:c r="F22" s="76" t="n">
        <x:v>619</x:v>
      </x:c>
      <x:c r="G22" s="76" t="n">
        <x:v>0</x:v>
      </x:c>
      <x:c r="H22" s="76" t="n">
        <x:v>33</x:v>
      </x:c>
      <x:c r="I22" s="76" t="n">
        <x:v>1</x:v>
      </x:c>
      <x:c r="J22" s="76" t="n">
        <x:v>2</x:v>
      </x:c>
      <x:c r="K22" s="76" t="n">
        <x:v>36</x:v>
      </x:c>
      <x:c r="L22" s="70" t="inlineStr">
        <x:is>
          <x:t xml:space="preserve">media/other/17985109148958154.heic</x:t>
        </x:is>
      </x:c>
      <x:c r="M22" s="70" t="inlineStr">
        <x:is>
          <x:t xml:space="preserve">O alicerce de um ecossistema econômico robusto se constrói com a presença constante nos fóruns de decisão que moldam o mercado. A participação institucional da #ACIRV na Assembleia Geral do Sicoob Empresarial consolida uma aliança estratégica vital para a região. 
Quando a #ACIRV se posiciona ativamente ao lado do @Sicoobempresarialoficial, o propósito é viabilizar soluções financeiras concretas e fortalecer o crédito empresarial. Essa renovação de parceria demonstra como a diretriz de #ConectarParaCrescer opera como um método focado na expansão dos negócios locais, integrando a nossa sólida tradição associativista às ferramentas mais modernas de fomento e gestão. 
Aqui, ninguém cresce isolado. A gente cresce conectado.</x:t>
        </x:is>
      </x:c>
    </x:row>
    <x:row r="23" s="39" customFormat="1" ht="206" customHeight="1">
      <x:c r="A23" s="80" t="n">
        <x:v>46091</x:v>
      </x:c>
      <x:c r="B23" s="70" t="inlineStr">
        <x:is>
          <x:t xml:space="preserve">2026-03</x:t>
        </x:is>
      </x:c>
      <x:c r="C23" s="76" t="n">
        <x:v>3</x:v>
      </x:c>
      <x:c r="D23" s="76" t="n">
        <x:v>627</x:v>
      </x:c>
      <x:c r="E23" s="76" t="n">
        <x:v>0</x:v>
      </x:c>
      <x:c r="F23" s="76" t="n">
        <x:v>530</x:v>
      </x:c>
      <x:c r="G23" s="76" t="n">
        <x:v>0</x:v>
      </x:c>
      <x:c r="H23" s="76" t="n">
        <x:v>8</x:v>
      </x:c>
      <x:c r="I23" s="76" t="n">
        <x:v>0</x:v>
      </x:c>
      <x:c r="J23" s="76" t="n">
        <x:v>4</x:v>
      </x:c>
      <x:c r="K23" s="76" t="n">
        <x:v>12</x:v>
      </x:c>
      <x:c r="L23" s="70" t="inlineStr">
        <x:is>
          <x:t xml:space="preserve">media/other/18046288877720154.heic</x:t>
        </x:is>
      </x:c>
      <x:c r="M23" s="70" t="inlineStr">
        <x:is>
          <x:t xml:space="preserve">A correria do dia a dia nos impede de perceber a falta de um fluxo de caixa estruturado, o que gera risco para o lucro da operação de um MEI. É este cenário que vamos estudar e corrigir na oficina gratuita Descomplica MEI, agendada para 17 de Março, na terça-feira, às 19h, em nossa sede. 
Durante a execução deste treinamento, você vai repensar a matemática do seu serviço, mensurar o lucro das suas vendas com previsibilidade e conduzir as informações da sua declaração anual com precisão técnica. 
A parceria do @sebraegoias com a #ACIRV, essa capacitação em gestão financeira com segurança e dados e o networking com os alunos #ACIRVLovers comprova que #ConectarParaCrescer é o método definitivo para garantir a consolidação das empresas que formam o ecossistema da #ACIRV.
Se inscreva pelo link na bio.
Aqui, ninguém cresce isolado. A gente cresce conectado.</x:t>
        </x:is>
      </x:c>
    </x:row>
    <x:row r="24" s="39" customFormat="1" ht="144.5500030517578" customHeight="1">
      <x:c r="A24" s="80" t="n">
        <x:v>46091</x:v>
      </x:c>
      <x:c r="B24" s="70" t="inlineStr">
        <x:is>
          <x:t xml:space="preserve">2026-03</x:t>
        </x:is>
      </x:c>
      <x:c r="C24" s="76" t="n">
        <x:v>2</x:v>
      </x:c>
      <x:c r="D24" s="76" t="n">
        <x:v>648</x:v>
      </x:c>
      <x:c r="E24" s="76" t="n">
        <x:v>0</x:v>
      </x:c>
      <x:c r="F24" s="76" t="n">
        <x:v>593</x:v>
      </x:c>
      <x:c r="G24" s="76" t="n">
        <x:v>0</x:v>
      </x:c>
      <x:c r="H24" s="76" t="n">
        <x:v>20</x:v>
      </x:c>
      <x:c r="I24" s="76" t="n">
        <x:v>0</x:v>
      </x:c>
      <x:c r="J24" s="76" t="n">
        <x:v>2</x:v>
      </x:c>
      <x:c r="K24" s="76" t="n">
        <x:v>22</x:v>
      </x:c>
      <x:c r="L24" s="70" t="inlineStr">
        <x:is>
          <x:t xml:space="preserve">media/other/18410678491126096.heic</x:t>
        </x:is>
      </x:c>
      <x:c r="M24" s="70" t="inlineStr">
        <x:is>
          <x:t xml:space="preserve">O alicerce de um networking de alto impacto começa com o entendimento claro das oportunidades presentes no ecossistema empresarial. Para mapear o potencial de negócios fechados da 5ª edição do Conecta, @_laradutra conduzirá uma análise profunda nos microfones da @lider95fm , nesta quarta-feira, às 7h30.
A @_laradutra estar presenta na Rádio para compartilhar essa mais informações sobre esta oportunidade reforça que #ConectarParaCrescer é o método estratégico adotado pela #ACIRV para garantir a consolidação e crescimento dos empreendedores de Rio Verde.
Aqui, ninguém cresce isolado. A gente cresce conectado.</x:t>
        </x:is>
      </x:c>
    </x:row>
    <x:row r="25" s="39" customFormat="1" ht="62.650001525878906" customHeight="1">
      <x:c r="A25" s="80" t="n">
        <x:v>46091</x:v>
      </x:c>
      <x:c r="B25" s="70" t="inlineStr">
        <x:is>
          <x:t xml:space="preserve">2026-03</x:t>
        </x:is>
      </x:c>
      <x:c r="C25" s="76" t="n">
        <x:v>0</x:v>
      </x:c>
      <x:c r="D25" s="76" t="n">
        <x:v>205</x:v>
      </x:c>
      <x:c r="E25" s="76" t="n">
        <x:v>0</x:v>
      </x:c>
      <x:c r="F25" s="76" t="n">
        <x:v>186</x:v>
      </x:c>
      <x:c r="G25" s="76" t="n">
        <x:v>0</x:v>
      </x:c>
      <x:c r="H25" s="76" t="n">
        <x:v>7</x:v>
      </x:c>
      <x:c r="I25" s="76" t="n">
        <x:v>0</x:v>
      </x:c>
      <x:c r="J25" s="76" t="n">
        <x:v>1</x:v>
      </x:c>
      <x:c r="K25" s="76" t="n">
        <x:v>8</x:v>
      </x:c>
      <x:c r="L25" s="70" t="inlineStr">
        <x:is>
          <x:t xml:space="preserve">media/other/18190453264359510.jpg</x:t>
        </x:is>
      </x:c>
      <x:c r="M25" s="70" t="inlineStr">
        <x:is>
          <x:t xml:space="preserve">Se em 2024 nossos números foram um sucesso, imagine em 2026!
Não perca a oportunidade de levar a sua empresa para outro nível, entre em contato e garanta seu espaço na Sudoexpo 2026. ÚLTIMAS VAGAS!
Sudoexpo 2026, aqui tudo vira negócio.</x:t>
        </x:is>
      </x:c>
    </x:row>
    <x:row r="26" s="39" customFormat="1" ht="165.0500030517578" customHeight="1">
      <x:c r="A26" s="80" t="n">
        <x:v>46088</x:v>
      </x:c>
      <x:c r="B26" s="70" t="inlineStr">
        <x:is>
          <x:t xml:space="preserve">2026-03</x:t>
        </x:is>
      </x:c>
      <x:c r="C26" s="76" t="n">
        <x:v>0</x:v>
      </x:c>
      <x:c r="D26" s="76" t="n">
        <x:v>386</x:v>
      </x:c>
      <x:c r="E26" s="76" t="n">
        <x:v>0</x:v>
      </x:c>
      <x:c r="F26" s="76" t="n">
        <x:v>346</x:v>
      </x:c>
      <x:c r="G26" s="76" t="n">
        <x:v>0</x:v>
      </x:c>
      <x:c r="H26" s="76" t="n">
        <x:v>6</x:v>
      </x:c>
      <x:c r="I26" s="76" t="n">
        <x:v>0</x:v>
      </x:c>
      <x:c r="J26" s="76" t="n">
        <x:v>0</x:v>
      </x:c>
      <x:c r="K26" s="76" t="n">
        <x:v>6</x:v>
      </x:c>
      <x:c r="L26" s="70" t="inlineStr">
        <x:is>
          <x:t xml:space="preserve">media/other/18058403624392047.heic</x:t>
        </x:is>
      </x:c>
      <x:c r="M26" s="70" t="inlineStr">
        <x:is>
          <x:t xml:space="preserve">O montante de R$ 4 milhões movimentados entre 196 profissionais comprova que uma rede de contatos estruturada é o alicerce mais seguro para a expansão de mercado. 
Nossa próxima rodada de negociações ocorre no dia 26/03, às 19h, na sede da associação, as vagas estão abertas.
Integrar o ecossistema da #ACIRV significa construir alianças estratégicas e transformar diálogos corporativos em fechamentos com impacto financeiro positivo. O formato da nossa mesa une a credibilidade do networking clássico à metodologias ágil que maximiza o número de contatos. É neste cenário que #ConectarParaCrescer opera como um modelo prático de aceleração financeira para quem decide participar.
Aqui, ninguém cresce isolado. A gente cresce conectado.</x:t>
        </x:is>
      </x:c>
    </x:row>
    <x:row r="27" s="39" customFormat="1" ht="72.8499984741211" customHeight="1">
      <x:c r="A27" s="80" t="n">
        <x:v>46087</x:v>
      </x:c>
      <x:c r="B27" s="70" t="inlineStr">
        <x:is>
          <x:t xml:space="preserve">2026-03</x:t>
        </x:is>
      </x:c>
      <x:c r="C27" s="76" t="n">
        <x:v>4</x:v>
      </x:c>
      <x:c r="D27" s="76" t="n">
        <x:v>249</x:v>
      </x:c>
      <x:c r="E27" s="76" t="n">
        <x:v>0</x:v>
      </x:c>
      <x:c r="F27" s="76" t="n">
        <x:v>226</x:v>
      </x:c>
      <x:c r="G27" s="76" t="n">
        <x:v>0</x:v>
      </x:c>
      <x:c r="H27" s="76" t="n">
        <x:v>9</x:v>
      </x:c>
      <x:c r="I27" s="76" t="n">
        <x:v>0</x:v>
      </x:c>
      <x:c r="J27" s="76" t="n">
        <x:v>1</x:v>
      </x:c>
      <x:c r="K27" s="76" t="n">
        <x:v>10</x:v>
      </x:c>
      <x:c r="L27" s="70" t="inlineStr">
        <x:is>
          <x:t xml:space="preserve">media/other/18033843710782641.jpg</x:t>
        </x:is>
      </x:c>
      <x:c r="M27" s="70" t="inlineStr">
        <x:is>
          <x:t xml:space="preserve">A Sudoexpo 2026 nasce com um conceito claro:
✨ Inovação
🌱 Sustentabilidade
🤝 Geração de Negócios
Com novos espaços temáticos e experiências imersivas, a feira foi pensada para entregar valor real a expositores e visitantes.
O futuro passa por aqui.</x:t>
        </x:is>
      </x:c>
    </x:row>
    <x:row r="28" s="39" customFormat="1" ht="52.400001525878906" customHeight="1">
      <x:c r="A28" s="80" t="n">
        <x:v>46083</x:v>
      </x:c>
      <x:c r="B28" s="70" t="inlineStr">
        <x:is>
          <x:t xml:space="preserve">2026-03</x:t>
        </x:is>
      </x:c>
      <x:c r="C28" s="76" t="n">
        <x:v>10</x:v>
      </x:c>
      <x:c r="D28" s="76" t="n">
        <x:v>371</x:v>
      </x:c>
      <x:c r="E28" s="76" t="n">
        <x:v>1</x:v>
      </x:c>
      <x:c r="F28" s="76" t="n">
        <x:v>335</x:v>
      </x:c>
      <x:c r="G28" s="76" t="n">
        <x:v>1</x:v>
      </x:c>
      <x:c r="H28" s="76" t="n">
        <x:v>18</x:v>
      </x:c>
      <x:c r="I28" s="76" t="n">
        <x:v>0</x:v>
      </x:c>
      <x:c r="J28" s="76" t="n">
        <x:v>1</x:v>
      </x:c>
      <x:c r="K28" s="76" t="n">
        <x:v>20</x:v>
      </x:c>
      <x:c r="L28" s="70" t="inlineStr">
        <x:is>
          <x:t xml:space="preserve">media/other/18113348233654884.jpg</x:t>
        </x:is>
      </x:c>
      <x:c r="M28" s="70" t="inlineStr">
        <x:is>
          <x:t xml:space="preserve">“A Sudoexpo é mais do que uma feira: é um símbolo do potencial produtivo e inovador da nossa região.”
— José Carlos Cintra, presidente da ACIRV
Uma visão que conecta propósito, desenvolvimento e oportunidades para todo o Sudoeste Goiano.</x:t>
        </x:is>
      </x:c>
    </x:row>
    <x:row r="29" s="39" customFormat="1" ht="144.5500030517578" customHeight="1">
      <x:c r="A29" s="80" t="n">
        <x:v>46080</x:v>
      </x:c>
      <x:c r="B29" s="70" t="inlineStr">
        <x:is>
          <x:t xml:space="preserve">2026-02</x:t>
        </x:is>
      </x:c>
      <x:c r="C29" s="76" t="n">
        <x:v>9</x:v>
      </x:c>
      <x:c r="D29" s="76" t="n">
        <x:v>1939</x:v>
      </x:c>
      <x:c r="E29" s="76" t="n">
        <x:v>0</x:v>
      </x:c>
      <x:c r="F29" s="76" t="n">
        <x:v>1133</x:v>
      </x:c>
      <x:c r="G29" s="76" t="n">
        <x:v>2</x:v>
      </x:c>
      <x:c r="H29" s="76" t="n">
        <x:v>29</x:v>
      </x:c>
      <x:c r="I29" s="76" t="n">
        <x:v>0</x:v>
      </x:c>
      <x:c r="J29" s="76" t="n">
        <x:v>20</x:v>
      </x:c>
      <x:c r="K29" s="76" t="n">
        <x:v>51</x:v>
      </x:c>
      <x:c r="L29" s="70" t="inlineStr">
        <x:is>
          <x:t xml:space="preserve">media/other/18092938001068859.heic</x:t>
        </x:is>
      </x:c>
      <x:c r="M29" s="70" t="inlineStr">
        <x:is>
          <x:t xml:space="preserve">As alianças comerciais mais sólidas nascem de conversas estruturadas para gerar conexão, e a primeira agenda para construir essas conexões em 2026 já está definida: o Conecta - Mesa de Networking, no dia 26 de março.
Este encontro é desenhado pela #ACIRV para ir além da troca de cartões: é o ambiente para mapear parcerias, validar soluções e construir pontes entre a experiência consolidada e as inovação dos iniciantes. A dinâmica da mesa de networking é a prova de que #ConectarParaCrescer não é um lema, é um método de execução. As inscrições estão abertas pelo link na bio.
Aqui, ninguém cresce isolado. A gente cresce conectado.</x:t>
        </x:is>
      </x:c>
    </x:row>
    <x:row r="30" s="39" customFormat="1" ht="31.899999618530273" customHeight="1">
      <x:c r="A30" s="80" t="n">
        <x:v>46078</x:v>
      </x:c>
      <x:c r="B30" s="70" t="inlineStr">
        <x:is>
          <x:t xml:space="preserve">2026-02</x:t>
        </x:is>
      </x:c>
      <x:c r="C30" s="76" t="n">
        <x:v>1</x:v>
      </x:c>
      <x:c r="D30" s="76" t="n">
        <x:v>328</x:v>
      </x:c>
      <x:c r="E30" s="76" t="n">
        <x:v>0</x:v>
      </x:c>
      <x:c r="F30" s="76" t="n">
        <x:v>307</x:v>
      </x:c>
      <x:c r="G30" s="76" t="n">
        <x:v>0</x:v>
      </x:c>
      <x:c r="H30" s="76" t="n">
        <x:v>5</x:v>
      </x:c>
      <x:c r="I30" s="76" t="n">
        <x:v>0</x:v>
      </x:c>
      <x:c r="J30" s="76" t="n">
        <x:v>2</x:v>
      </x:c>
      <x:c r="K30" s="76" t="n">
        <x:v>7</x:v>
      </x:c>
      <x:c r="L30" s="70" t="inlineStr">
        <x:is>
          <x:t xml:space="preserve">media/other/17929553244207174.jpg</x:t>
        </x:is>
      </x:c>
      <x:c r="M30" s="70" t="inlineStr">
        <x:is>
          <x:t xml:space="preserve">Leve seu negócio para outro patamar, seja um expositor da maior feira multissetorial do Centro-Oeste.
SUDOEXPO - Aqui tudo vira negócio!</x:t>
        </x:is>
      </x:c>
    </x:row>
    <x:row r="31" s="39" customFormat="1" ht="175.3000030517578" customHeight="1">
      <x:c r="A31" s="80" t="n">
        <x:v>46073</x:v>
      </x:c>
      <x:c r="B31" s="70" t="inlineStr">
        <x:is>
          <x:t xml:space="preserve">2026-02</x:t>
        </x:is>
      </x:c>
      <x:c r="C31" s="76" t="n">
        <x:v>8</x:v>
      </x:c>
      <x:c r="D31" s="76" t="n">
        <x:v>998</x:v>
      </x:c>
      <x:c r="E31" s="76" t="n">
        <x:v>0</x:v>
      </x:c>
      <x:c r="F31" s="76" t="n">
        <x:v>733</x:v>
      </x:c>
      <x:c r="G31" s="76" t="n">
        <x:v>1</x:v>
      </x:c>
      <x:c r="H31" s="76" t="n">
        <x:v>31</x:v>
      </x:c>
      <x:c r="I31" s="76" t="n">
        <x:v>3</x:v>
      </x:c>
      <x:c r="J31" s="76" t="n">
        <x:v>3</x:v>
      </x:c>
      <x:c r="K31" s="76" t="n">
        <x:v>38</x:v>
      </x:c>
      <x:c r="L31" s="70" t="inlineStr">
        <x:is>
          <x:t xml:space="preserve">media/other/18130107307522348.heic</x:t>
        </x:is>
      </x:c>
      <x:c r="M31" s="70" t="inlineStr">
        <x:is>
          <x:t xml:space="preserve">O crescimento de um ecossistema se mede pela qualidade das trocas. Quando líderes de diversos setores ocupam o mesmo espaço com intenção de #ConectarParaCrescer o mercado local cresce. Com o objetivo de acelerar esse crescimento, o #Conecta retorna dia 26 de março, às 19h.
Validar o lema #ConectarParaCrescer exige sair da teoria e partir para a prática comercial. A primeira edição do ano transforma o auditório da #ACIRV em um meio para criar novas conexões. É o momento de converter networking em contratos lucrativos e expandir sua influência para além do seu nicho habitual.
As vagas são restritas para manter a qualificação do grupo. Garanta sua cadeira pelo link na bio.
Aqui, ninguém cresce isolado. A gente cresce conectado</x:t>
        </x:is>
      </x:c>
    </x:row>
    <x:row r="32" s="39" customFormat="1" ht="216.25" customHeight="1">
      <x:c r="A32" s="80" t="n">
        <x:v>46071</x:v>
      </x:c>
      <x:c r="B32" s="70" t="inlineStr">
        <x:is>
          <x:t xml:space="preserve">2026-02</x:t>
        </x:is>
      </x:c>
      <x:c r="C32" s="76" t="n">
        <x:v>11</x:v>
      </x:c>
      <x:c r="D32" s="76" t="n">
        <x:v>2050</x:v>
      </x:c>
      <x:c r="E32" s="76" t="n">
        <x:v>2</x:v>
      </x:c>
      <x:c r="F32" s="76" t="n">
        <x:v>1610</x:v>
      </x:c>
      <x:c r="G32" s="76" t="n">
        <x:v>0</x:v>
      </x:c>
      <x:c r="H32" s="76" t="n">
        <x:v>55</x:v>
      </x:c>
      <x:c r="I32" s="76" t="n">
        <x:v>2</x:v>
      </x:c>
      <x:c r="J32" s="76" t="n">
        <x:v>23</x:v>
      </x:c>
      <x:c r="K32" s="76" t="n">
        <x:v>80</x:v>
      </x:c>
      <x:c r="L32" s="70" t="inlineStr">
        <x:is>
          <x:t xml:space="preserve">media/other/17909687991165181.heic</x:t>
        </x:is>
      </x:c>
      <x:c r="M32" s="70" t="inlineStr">
        <x:is>
          <x:t xml:space="preserve">A Reforma Tributária redefiniu as margens de lucro e quem não entender as novas regras agora, comprometerá o caixa amanhã. A complexidade do cenário exige análise técnica de elite, não suposições.
No dia 26 de fevereiro, às 07h30, o Café entre Amigos transforma o Auditório da ACIRV em um centro de inteligência fiscal.
A condução da Dra. Ivone Vieira Pereira que é Pós-Doutora e membro do CARF garante que o conteúdo vá muito além da teoria, entregando aplicabilidade imediata para a gestão.
O patrocínio da @seguralta reforça nosso compromisso de que #ConectarParaCrescer é método onde buscamos parceiros para garantir a contínua capacitação daqueles que estão conectados consoco.
Se inscreva pelo link na bio.
Aqui, ninguém cresce isolado. A gente cresce conectado.</x:t>
        </x:is>
      </x:c>
    </x:row>
    <x:row r="33" s="39" customFormat="1" ht="175.3000030517578" customHeight="1">
      <x:c r="A33" s="80" t="n">
        <x:v>46069</x:v>
      </x:c>
      <x:c r="B33" s="70" t="inlineStr">
        <x:is>
          <x:t xml:space="preserve">2026-02</x:t>
        </x:is>
      </x:c>
      <x:c r="C33" s="76" t="n">
        <x:v>1</x:v>
      </x:c>
      <x:c r="D33" s="76" t="n">
        <x:v>625</x:v>
      </x:c>
      <x:c r="E33" s="76" t="n">
        <x:v>0</x:v>
      </x:c>
      <x:c r="F33" s="76" t="n">
        <x:v>446</x:v>
      </x:c>
      <x:c r="G33" s="76" t="n">
        <x:v>0</x:v>
      </x:c>
      <x:c r="H33" s="76" t="n">
        <x:v>10</x:v>
      </x:c>
      <x:c r="I33" s="76" t="n">
        <x:v>0</x:v>
      </x:c>
      <x:c r="J33" s="76" t="n">
        <x:v>6</x:v>
      </x:c>
      <x:c r="K33" s="76" t="n">
        <x:v>16</x:v>
      </x:c>
      <x:c r="L33" s="70" t="inlineStr">
        <x:is>
          <x:t xml:space="preserve">media/other/17911658976321221.heic</x:t>
        </x:is>
      </x:c>
      <x:c r="M33" s="70" t="inlineStr">
        <x:is>
          <x:t xml:space="preserve">O valor de uma ideia reside na competência técnica de tirá-la do papel e validá-la no mercado.
A oficina "In Book: Vai lá e Faz", organizada pela #ACIRV em parceria com o @sebraegoias, entrega o roteiro prático para quem precisa converter planejamento abstrato em execução imediata. Dominar metodologias ágeis é o requisito básico para quem busca #ConectarParaCrescer com inteligência, aplicando o pensamento digital para resolver gargalos concretos da sua operação.
No dia 26/02, às 19h, o foco será transformar intenção em métrica e gestão.
Inscreva-se pelo link na bio.
Aqui, ninguém cresce isolado. A gente cresce conectado.</x:t>
        </x:is>
      </x:c>
    </x:row>
    <x:row r="34" s="39" customFormat="1" ht="246.9499969482422" customHeight="1">
      <x:c r="A34" s="80" t="n">
        <x:v>46062</x:v>
      </x:c>
      <x:c r="B34" s="70" t="inlineStr">
        <x:is>
          <x:t xml:space="preserve">2026-02</x:t>
        </x:is>
      </x:c>
      <x:c r="C34" s="76" t="n">
        <x:v>1</x:v>
      </x:c>
      <x:c r="D34" s="76" t="n">
        <x:v>573</x:v>
      </x:c>
      <x:c r="E34" s="76" t="n">
        <x:v>0</x:v>
      </x:c>
      <x:c r="F34" s="76" t="n">
        <x:v>561</x:v>
      </x:c>
      <x:c r="G34" s="76" t="n">
        <x:v>0</x:v>
      </x:c>
      <x:c r="H34" s="76" t="n">
        <x:v>16</x:v>
      </x:c>
      <x:c r="I34" s="76" t="n">
        <x:v>0</x:v>
      </x:c>
      <x:c r="J34" s="76" t="n">
        <x:v>1</x:v>
      </x:c>
      <x:c r="K34" s="76" t="n">
        <x:v>17</x:v>
      </x:c>
      <x:c r="L34" s="70" t="inlineStr">
        <x:is>
          <x:t xml:space="preserve">media/other/18094893517778975.jpg</x:t>
        </x:is>
      </x:c>
      <x:c r="M34" s="70" t="inlineStr">
        <x:is>
          <x:t xml:space="preserve">ACIRV EM AÇÃO: Energia para o desenvolvimento de Rio Verde. A diretoria da ACIRV, representada pelo nosso Vice-Presidente Gustavo Lacerda, esteve na sexta-feira, em Goiânia, na sede da Equatorial Goiás, para uma reunião decisiva sobre o fornecimento de energia em nossa região.
Sabemos que a dificuldade de conexão de novas empresas e usinas solares tem travado negócios. Por isso, fomos direto à fonte buscar soluções e transparência.
🔎 O que foi discutido: ✅ A situação crítica da transmissão de energia e os impactos no Sudoeste Goiano. ✅ A garantia de análise caso a caso para microgeração, evitando negativas automáticas. ✅ Cobrança por agilidade nas obras que atendem nossas indústrias e o agronegócio.
A ACIRV segue firme no seu papel de interlocução. Não aceitamos que a falta de infraestrutura impeça o crescimento dos nossos associados. Estamos alinhando uma frente única para cobrar a ANEEL e o Governo Federal pelos investimentos necessários.
#ACIRV #RioVerde #Energia #Empreendedorismo #Equatorial DefesaDoAssociado Desenvolvimento</x:t>
        </x:is>
      </x:c>
    </x:row>
    <x:row r="35" s="39" customFormat="1" ht="154.8000030517578" customHeight="1">
      <x:c r="A35" s="80" t="n">
        <x:v>46057</x:v>
      </x:c>
      <x:c r="B35" s="70" t="inlineStr">
        <x:is>
          <x:t xml:space="preserve">2026-02</x:t>
        </x:is>
      </x:c>
      <x:c r="C35" s="76" t="n">
        <x:v>2</x:v>
      </x:c>
      <x:c r="D35" s="76" t="n">
        <x:v>989</x:v>
      </x:c>
      <x:c r="E35" s="76" t="n">
        <x:v>1</x:v>
      </x:c>
      <x:c r="F35" s="76" t="n">
        <x:v>803</x:v>
      </x:c>
      <x:c r="G35" s="76" t="n">
        <x:v>0</x:v>
      </x:c>
      <x:c r="H35" s="76" t="n">
        <x:v>8</x:v>
      </x:c>
      <x:c r="I35" s="76" t="n">
        <x:v>0</x:v>
      </x:c>
      <x:c r="J35" s="76" t="n">
        <x:v>4</x:v>
      </x:c>
      <x:c r="K35" s="76" t="n">
        <x:v>12</x:v>
      </x:c>
      <x:c r="L35" s="70" t="inlineStr">
        <x:is>
          <x:t xml:space="preserve">media/other/17879804322463456.heic</x:t>
        </x:is>
      </x:c>
      <x:c r="M35" s="70" t="inlineStr">
        <x:is>
          <x:t xml:space="preserve">O ambiente de trabalho muitas vezes é a única rede de apoio de um colaborador. Saber identificar sinais de violência doméstica ou desgaste mental é estratégia de retenção e responsabilidade humana.
O Seminário Multiplicadores de Sucesso traz especialistas como o @danilo_fabiano_carvalho e a Dra. Fernanda Simão para capacitar nossos líderes. A missão da #ACIRV é clara: transformar informação técnica em ferramentas de proteção.
Ao #ConectarParaCrescer com a @pcgo_8drp, fortalecemos o papel social das nossas empresas em Rio Verde.
Aqui, ninguém cresce isolado; a gente cresce protegido e conectado. Inscreva-se pelo link na bio.</x:t>
        </x:is>
      </x:c>
    </x:row>
    <x:row r="36" s="39" customFormat="1" ht="185.5" customHeight="1">
      <x:c r="A36" s="80" t="n">
        <x:v>46056</x:v>
      </x:c>
      <x:c r="B36" s="70" t="inlineStr">
        <x:is>
          <x:t xml:space="preserve">2026-02</x:t>
        </x:is>
      </x:c>
      <x:c r="C36" s="76" t="n">
        <x:v>2</x:v>
      </x:c>
      <x:c r="D36" s="76" t="n">
        <x:v>2213</x:v>
      </x:c>
      <x:c r="E36" s="76" t="n">
        <x:v>1</x:v>
      </x:c>
      <x:c r="F36" s="76" t="n">
        <x:v>1432</x:v>
      </x:c>
      <x:c r="G36" s="76" t="n">
        <x:v>2</x:v>
      </x:c>
      <x:c r="H36" s="76" t="n">
        <x:v>42</x:v>
      </x:c>
      <x:c r="I36" s="76" t="n">
        <x:v>8</x:v>
      </x:c>
      <x:c r="J36" s="76" t="n">
        <x:v>7</x:v>
      </x:c>
      <x:c r="K36" s="76" t="n">
        <x:v>59</x:v>
      </x:c>
      <x:c r="L36" s="70" t="inlineStr">
        <x:is>
          <x:t xml:space="preserve">media/other/17999947124855636.heic</x:t>
        </x:is>
      </x:c>
      <x:c r="M36" s="70" t="inlineStr">
        <x:is>
          <x:t xml:space="preserve">A saúde mental da equipe deixou de ser subjetiva e virou dado técnico no PGR. Ignorar os riscos psicossociais da nova NR-01 não gera apenas problemas de gestão, gera passivo jurídico.
Para eliminar a dúvida, a #ACIRV convoca a expertise do COT Ocupacional para um workshop técnico. Com a visão jurídica de @dennerclementeadv, a análise clínica de @kassyenerodrigues e a engenharia de @erikabarcelo2019, vamos desenhar o mapa da conformidade. É o momento de entender que #ConectarParaCrescer também significa blindar sua empresa contra riscos invisíveis.
No dia 12/02, transformaremos a norma fria em estratégia quente no Auditório da ACIRV.
Inscrições pelo link na bio!
Aqui, ninguém cresce isolado. A gente cresce conectado.</x:t>
        </x:is>
      </x:c>
    </x:row>
    <x:row r="37" s="39" customFormat="1" ht="124.05000305175781" customHeight="1">
      <x:c r="A37" s="80" t="n">
        <x:v>46051</x:v>
      </x:c>
      <x:c r="B37" s="70" t="inlineStr">
        <x:is>
          <x:t xml:space="preserve">2026-01</x:t>
        </x:is>
      </x:c>
      <x:c r="C37" s="76" t="n">
        <x:v>1</x:v>
      </x:c>
      <x:c r="D37" s="76" t="n">
        <x:v>606</x:v>
      </x:c>
      <x:c r="E37" s="76" t="n">
        <x:v>0</x:v>
      </x:c>
      <x:c r="F37" s="76" t="n">
        <x:v>511</x:v>
      </x:c>
      <x:c r="G37" s="76" t="n">
        <x:v>0</x:v>
      </x:c>
      <x:c r="H37" s="76" t="n">
        <x:v>7</x:v>
      </x:c>
      <x:c r="I37" s="76" t="n">
        <x:v>0</x:v>
      </x:c>
      <x:c r="J37" s="76" t="n">
        <x:v>1</x:v>
      </x:c>
      <x:c r="K37" s="76" t="n">
        <x:v>8</x:v>
      </x:c>
      <x:c r="L37" s="70" t="inlineStr">
        <x:is>
          <x:t xml:space="preserve">media/other/17934218790158374.heic</x:t>
        </x:is>
      </x:c>
      <x:c r="M37" s="70" t="inlineStr">
        <x:is>
          <x:t xml:space="preserve">Estamos colocando a venda esta mesa de 4,50x1,30m.
Essa mesa é ideal para quem entende que estrutura é uma ferramenta de produtividade para alinhar times em expansão. Ao adquirir este ativo de 4,50m, você leva para o seu escritório a solidez necessária para conduzir reuniões decisivas e cria o espaço propício para, literalmente, #ConectarParaCrescer com sua equipe, reforçando nossa visão de que ninguém cresce isolado, a gente cresce conectado.
Detalhes técnicos e investimento descritos na imagem.
Interessados, entrem em contato pelo número: (64) 3620-0199</x:t>
        </x:is>
      </x:c>
    </x:row>
    <x:row r="38" s="39" customFormat="1" ht="236.6999969482422" customHeight="1">
      <x:c r="A38" s="80" t="n">
        <x:v>46045</x:v>
      </x:c>
      <x:c r="B38" s="70" t="inlineStr">
        <x:is>
          <x:t xml:space="preserve">2026-01</x:t>
        </x:is>
      </x:c>
      <x:c r="C38" s="76" t="n">
        <x:v>2</x:v>
      </x:c>
      <x:c r="D38" s="76" t="n">
        <x:v>1183</x:v>
      </x:c>
      <x:c r="E38" s="76" t="n">
        <x:v>0</x:v>
      </x:c>
      <x:c r="F38" s="76" t="n">
        <x:v>756</x:v>
      </x:c>
      <x:c r="G38" s="76" t="n">
        <x:v>2</x:v>
      </x:c>
      <x:c r="H38" s="76" t="n">
        <x:v>10</x:v>
      </x:c>
      <x:c r="I38" s="76" t="n">
        <x:v>0</x:v>
      </x:c>
      <x:c r="J38" s="76" t="n">
        <x:v>3</x:v>
      </x:c>
      <x:c r="K38" s="76" t="n">
        <x:v>15</x:v>
      </x:c>
      <x:c r="L38" s="70" t="inlineStr">
        <x:is>
          <x:t xml:space="preserve">media/other/17875056231393228.heic</x:t>
        </x:is>
      </x:c>
      <x:c r="M38" s="70" t="inlineStr">
        <x:is>
          <x:t xml:space="preserve">Saber vender um produto é importante, mas é a comunicação capaz de narrar o propósito por trás dele que consolida marcas e sustenta negociações de alto nível no mercado atual. Com esse foco, a #ACIRV, em uma parceria estratégica com o #Sebrae, promove a Oficina de #Storytelling do conceito à prática. O encontro acontece no dia 27/01, unindo a tradição de quem conhece o mercado de Rio Verde à inovação das metodologias ágeis e do método TED Talks.
O formato é "mão na massa", desenvolvendo a capacidade de utilizar dados e estatísticas para gerar atenção e, principalmente, conversão. Acreditamos que o domínio dessa competência é o que diferencia quem apenas anuncia de quem de fato lidera.
Essa também é uma oportunidade de networking para quem entende que a boa comunicação é o que permite #ConectarParaCrescer com estratégia. Na ACIRV, fortalecemos esse ambiente de troca porque entendemos que ninguém cresce isolado; a gente cresce conectado.
As vagas são limitadas, garanta sua participação através do link disponível na bio do nosso perfil.</x:t>
        </x:is>
      </x:c>
    </x:row>
    <x:row r="39" s="39" customFormat="1" ht="154.8000030517578" customHeight="1">
      <x:c r="A39" s="80" t="n">
        <x:v>46038</x:v>
      </x:c>
      <x:c r="B39" s="70" t="inlineStr">
        <x:is>
          <x:t xml:space="preserve">2026-01</x:t>
        </x:is>
      </x:c>
      <x:c r="C39" s="76" t="n">
        <x:v>3</x:v>
      </x:c>
      <x:c r="D39" s="76" t="n">
        <x:v>2966</x:v>
      </x:c>
      <x:c r="E39" s="76" t="n">
        <x:v>0</x:v>
      </x:c>
      <x:c r="F39" s="76" t="n">
        <x:v>2792</x:v>
      </x:c>
      <x:c r="G39" s="76" t="n">
        <x:v>0</x:v>
      </x:c>
      <x:c r="H39" s="76" t="n">
        <x:v>48</x:v>
      </x:c>
      <x:c r="I39" s="76" t="n">
        <x:v>1</x:v>
      </x:c>
      <x:c r="J39" s="76" t="n">
        <x:v>0</x:v>
      </x:c>
      <x:c r="K39" s="76" t="n">
        <x:v>49</x:v>
      </x:c>
      <x:c r="L39" s="70" t="inlineStr">
        <x:is>
          <x:t xml:space="preserve">media/other/18549181390007653.jpg</x:t>
        </x:is>
      </x:c>
      <x:c r="M39" s="70" t="inlineStr">
        <x:is>
          <x:t xml:space="preserve">Recebemos o André Santos, que é responsável pela organização do evento, para uma análise técnica dos resultados do #CorreMoporv. O relatório apresentado revela a capacidade de mobilização da nossa comunidade em torno da saúde e do bem-estar.
O apoio da #ACIRV e da #ACIRVmulher não é apenas institucional. É estratégico. Entendemos que iniciativas como essa funcionam como um termômetro da vitalidade de Rio Verde. Os números apresentados pelo André confirmam uma consolidação importante: o público responde quando a proposta une qualidade de vida e organização séria.
Aqui, ninguém cresce isolado. A gente cresce (e corre) em rede. Nós crescemos quando focamos em #ConectarParaCrescer.</x:t>
        </x:is>
      </x:c>
    </x:row>
    <x:row r="40" s="39" customFormat="1" ht="298.1499938964844" customHeight="1">
      <x:c r="A40" s="80" t="n">
        <x:v>46034</x:v>
      </x:c>
      <x:c r="B40" s="70" t="inlineStr">
        <x:is>
          <x:t xml:space="preserve">2026-01</x:t>
        </x:is>
      </x:c>
      <x:c r="C40" s="76" t="n">
        <x:v>1</x:v>
      </x:c>
      <x:c r="D40" s="76" t="n">
        <x:v>830</x:v>
      </x:c>
      <x:c r="E40" s="76" t="n">
        <x:v>0</x:v>
      </x:c>
      <x:c r="F40" s="76" t="n">
        <x:v>651</x:v>
      </x:c>
      <x:c r="G40" s="76" t="n">
        <x:v>0</x:v>
      </x:c>
      <x:c r="H40" s="76" t="n">
        <x:v>10</x:v>
      </x:c>
      <x:c r="I40" s="76" t="n">
        <x:v>0</x:v>
      </x:c>
      <x:c r="J40" s="76" t="n">
        <x:v>2</x:v>
      </x:c>
      <x:c r="K40" s="76" t="n">
        <x:v>12</x:v>
      </x:c>
      <x:c r="L40" s="70" t="inlineStr">
        <x:is>
          <x:t xml:space="preserve">media/other/18106992367735150.heic</x:t>
        </x:is>
      </x:c>
      <x:c r="M40" s="70" t="inlineStr">
        <x:is>
          <x:t xml:space="preserve">Antigamente, a expressão “não dou cheque em branco” era lei nos negócios. Significava não colocar seu patrimônio em risco na mão de qualquer um.
Os tempos mudaram, mas o risco não.
Hoje, o Certificado Digital é o novo cheque em branco.
Com ele, é possível assinar contratos, realizar transações bancárias e acessar dados sigilosos da sua empresa. A pergunta continua a mesma: você vai entregar essa chave-mestra para ser feita em qualquer lugar?
Na ACIRV, sua segurança não é um detalhe. É prioridade.
Somos a entidade que representa e defende seus interesses há mais de 40 anos. Aqui, seu patrimônio digital é protegido com o rigor e a confiança que você já conhece.
Seja para emitir um novo Certificado ou para renovar o seu atual, a escolha inteligente é fazer isso em casa, na sua associação. Garanta o suporte de quem realmente faz parte do seu dia a dia.
Não entregue sua identidade digital para estranhos. Fale com nossa equipe e agende seu atendimento presencial ou online. Temos descontos exclusivos para associados.
Agende agora com a Naiara:
📲 (64) 99233-2708 (WhatsApp)
📞 (64) 3620-0199</x:t>
        </x:is>
      </x:c>
    </x:row>
    <x:row r="41" s="39" customFormat="1" ht="154.8000030517578" customHeight="1">
      <x:c r="A41" s="80" t="n">
        <x:v>46028</x:v>
      </x:c>
      <x:c r="B41" s="70" t="inlineStr">
        <x:is>
          <x:t xml:space="preserve">2026-01</x:t>
        </x:is>
      </x:c>
      <x:c r="C41" s="76" t="n">
        <x:v>1</x:v>
      </x:c>
      <x:c r="D41" s="76" t="n">
        <x:v>417</x:v>
      </x:c>
      <x:c r="E41" s="76" t="n">
        <x:v>0</x:v>
      </x:c>
      <x:c r="F41" s="76" t="n">
        <x:v>371</x:v>
      </x:c>
      <x:c r="G41" s="76" t="n">
        <x:v>0</x:v>
      </x:c>
      <x:c r="H41" s="76" t="n">
        <x:v>16</x:v>
      </x:c>
      <x:c r="I41" s="76" t="n">
        <x:v>2</x:v>
      </x:c>
      <x:c r="J41" s="76" t="n">
        <x:v>0</x:v>
      </x:c>
      <x:c r="K41" s="76" t="n">
        <x:v>18</x:v>
      </x:c>
      <x:c r="L41" s="70" t="inlineStr">
        <x:is>
          <x:t xml:space="preserve">media/other/18054789212672915.heic</x:t>
        </x:is>
      </x:c>
      <x:c r="M41" s="70" t="inlineStr">
        <x:is>
          <x:t xml:space="preserve">Associação se faz com pessoas unidas pelo mesmo propósito. 🤝
Hoje, no #DiaDaGratidão, olhamos para a nossa base de associados com muito orgulho.
Obrigado a você, empresário e empresária de Rio Verde, que acredita na força do associativismo e que escolheu caminhar ao nosso lado em mais um ano.
É a sua participação que movimenta o comércio, a indústria e os serviços da nossa cidade.
É a sua confiança que nos dá legitimidade para representar e conquistar melhorias para todos.
Estamos juntos em 2026. E temos muito a realizar. 🚀💙</x:t>
        </x:is>
      </x:c>
    </x:row>
    <x:row r="42" s="39" customFormat="1" ht="216.25" customHeight="1">
      <x:c r="A42" s="80" t="n">
        <x:v>46027</x:v>
      </x:c>
      <x:c r="B42" s="70" t="inlineStr">
        <x:is>
          <x:t xml:space="preserve">2026-01</x:t>
        </x:is>
      </x:c>
      <x:c r="C42" s="76" t="n">
        <x:v>1</x:v>
      </x:c>
      <x:c r="D42" s="76" t="n">
        <x:v>439</x:v>
      </x:c>
      <x:c r="E42" s="76" t="n">
        <x:v>0</x:v>
      </x:c>
      <x:c r="F42" s="76" t="n">
        <x:v>409</x:v>
      </x:c>
      <x:c r="G42" s="76" t="n">
        <x:v>0</x:v>
      </x:c>
      <x:c r="H42" s="76" t="n">
        <x:v>11</x:v>
      </x:c>
      <x:c r="I42" s="76" t="n">
        <x:v>0</x:v>
      </x:c>
      <x:c r="J42" s="76" t="n">
        <x:v>3</x:v>
      </x:c>
      <x:c r="K42" s="76" t="n">
        <x:v>14</x:v>
      </x:c>
      <x:c r="L42" s="70" t="inlineStr">
        <x:is>
          <x:t xml:space="preserve">media/other/18105129202689098.heic</x:t>
        </x:is>
      </x:c>
      <x:c r="M42" s="70" t="inlineStr">
        <x:is>
          <x:t xml:space="preserve">A gente sabe: a cabeça do empreendedor não para.
É boleto, é equipe, é cliente, é a meta de 2026...
Mas a liderança, muitas vezes, é solitária. E carregar tudo sozinho não é sinal de força, é risco de negócio.
Neste #JaneiroBranco, a ACIRV quer lembrar o óbvio que a gente esquece na rotina: você é o principal motor da sua empresa. Se o motor para, o negócio trava.
Coloque na sua planilha de metas:
✅ Tempo de qualidade fora da empresa.
✅ Momentos de desconexão.
✅ Pedir ajuda quando o peso for excessivo.
Cuidar da mente não é "gasto de tempo". É manutenção preventiva do seu maior ativo.
Sinta-se sempre bem vindo para vir na ACIRV tomar um café com a nossa equipe, aqui você será bem recebido. Estamos juntos nessa jornada. 💙</x:t>
        </x:is>
      </x:c>
    </x:row>
    <x:row r="43" s="39" customFormat="1" ht="124.05000305175781" customHeight="1">
      <x:c r="A43" s="80" t="n">
        <x:v>46022</x:v>
      </x:c>
      <x:c r="B43" s="70" t="inlineStr">
        <x:is>
          <x:t xml:space="preserve">2025-12</x:t>
        </x:is>
      </x:c>
      <x:c r="C43" s="76" t="n">
        <x:v>3</x:v>
      </x:c>
      <x:c r="D43" s="76" t="n">
        <x:v>225</x:v>
      </x:c>
      <x:c r="E43" s="76" t="n">
        <x:v>0</x:v>
      </x:c>
      <x:c r="F43" s="76" t="n">
        <x:v>209</x:v>
      </x:c>
      <x:c r="G43" s="76" t="n">
        <x:v>0</x:v>
      </x:c>
      <x:c r="H43" s="76" t="n">
        <x:v>11</x:v>
      </x:c>
      <x:c r="I43" s="76" t="n">
        <x:v>0</x:v>
      </x:c>
      <x:c r="J43" s="76" t="n">
        <x:v>0</x:v>
      </x:c>
      <x:c r="K43" s="76" t="n">
        <x:v>11</x:v>
      </x:c>
      <x:c r="L43" s="70" t="inlineStr">
        <x:is>
          <x:t xml:space="preserve">media/other/17917668183093165.heic</x:t>
        </x:is>
      </x:c>
      <x:c r="M43" s="70" t="inlineStr">
        <x:is>
          <x:t xml:space="preserve">Um novo ciclo começa hoje. ✨
2026 chega com a promessa de novos desafios, mas também de grandes oportunidades para quem empreende em Rio Verde.
Na ACIRV, a tradição de mais de 40 anos se une à energia da inovação e renovação. Que este seja um ano de movimento, de realizações e, acima de tudo, de resultados!
Estamos prontos. E você?
Feliz 2026! 💙🚀 
#Acirv2026 #RioVerde #Empreendedorismo #AnoNovo</x:t>
        </x:is>
      </x:c>
    </x:row>
    <x:row r="44" s="39" customFormat="1" ht="154.8000030517578" customHeight="1">
      <x:c r="A44" s="80" t="n">
        <x:v>46016</x:v>
      </x:c>
      <x:c r="B44" s="70" t="inlineStr">
        <x:is>
          <x:t xml:space="preserve">2025-12</x:t>
        </x:is>
      </x:c>
      <x:c r="C44" s="76" t="n">
        <x:v>0</x:v>
      </x:c>
      <x:c r="D44" s="76" t="n">
        <x:v>152</x:v>
      </x:c>
      <x:c r="E44" s="76" t="n">
        <x:v>0</x:v>
      </x:c>
      <x:c r="F44" s="76" t="n">
        <x:v>146</x:v>
      </x:c>
      <x:c r="G44" s="76" t="n">
        <x:v>0</x:v>
      </x:c>
      <x:c r="H44" s="76" t="n">
        <x:v>6</x:v>
      </x:c>
      <x:c r="I44" s="76" t="n">
        <x:v>0</x:v>
      </x:c>
      <x:c r="J44" s="76" t="n">
        <x:v>0</x:v>
      </x:c>
      <x:c r="K44" s="76" t="n">
        <x:v>6</x:v>
      </x:c>
      <x:c r="L44" s="70" t="inlineStr">
        <x:is>
          <x:t xml:space="preserve">media/other/18075381668254358.heic</x:t>
        </x:is>
      </x:c>
      <x:c r="M44" s="70" t="inlineStr">
        <x:is>
          <x:t xml:space="preserve">O ano termina do jeito que a gente acredita: com pessoas, valores e propósito.
União, parceria, trabalho e confiança seguem sendo a base de tudo o que construímos juntos. É assim que a ACIRV cresce, se fortalece e faz sentido para quem empreende em Rio Verde.
Que o Natal traga pausa, afeto e renovação.
E que o próximo ano venha com mais cooperação, crescimento e desenvolvimento compartilhado.
Feliz Natal!
#ACIRV #ComunidadeQueConstrói #EmpreenderEmRioVerde #Associativismo</x:t>
        </x:is>
      </x:c>
    </x:row>
    <x:row r="45" s="39" customFormat="1" ht="175.3000030517578" customHeight="1">
      <x:c r="A45" s="80" t="n">
        <x:v>46013</x:v>
      </x:c>
      <x:c r="B45" s="70" t="inlineStr">
        <x:is>
          <x:t xml:space="preserve">2025-12</x:t>
        </x:is>
      </x:c>
      <x:c r="C45" s="76" t="n">
        <x:v>3</x:v>
      </x:c>
      <x:c r="D45" s="76" t="n">
        <x:v>455</x:v>
      </x:c>
      <x:c r="E45" s="76" t="n">
        <x:v>0</x:v>
      </x:c>
      <x:c r="F45" s="76" t="n">
        <x:v>419</x:v>
      </x:c>
      <x:c r="G45" s="76" t="n">
        <x:v>0</x:v>
      </x:c>
      <x:c r="H45" s="76" t="n">
        <x:v>11</x:v>
      </x:c>
      <x:c r="I45" s="76" t="n">
        <x:v>0</x:v>
      </x:c>
      <x:c r="J45" s="76" t="n">
        <x:v>2</x:v>
      </x:c>
      <x:c r="K45" s="76" t="n">
        <x:v>13</x:v>
      </x:c>
      <x:c r="L45" s="70" t="inlineStr">
        <x:is>
          <x:t xml:space="preserve">media/other/18399623266130855.heic</x:t>
        </x:is>
      </x:c>
      <x:c r="M45" s="70" t="inlineStr">
        <x:is>
          <x:t xml:space="preserve">Rio Verde é a 2ª maior economia de Goiás
E isso tem nome: setor produtivo
Com um PIB de R$ 22,3 bilhões, segundo dados do IBGE, Rio Verde se consolida como a maior economia do interior do Centro-Oeste.
Esse resultado é fruto da força de quem empreende, investe e gera empregos, somada à atuação do poder público na construção de um ambiente favorável ao desenvolvimento.
A ACIRV parabeniza os empresários e o Poder Executivo, que, juntos, contribuem para o crescimento econômico do município e para conquistas expressivas como esta.
Fonte: IBGE – PIB dos Municípios</x:t>
        </x:is>
      </x:c>
    </x:row>
    <x:row r="46" s="39" customFormat="1" ht="206" customHeight="1">
      <x:c r="A46" s="80" t="n">
        <x:v>46007</x:v>
      </x:c>
      <x:c r="B46" s="70" t="inlineStr">
        <x:is>
          <x:t xml:space="preserve">2025-12</x:t>
        </x:is>
      </x:c>
      <x:c r="C46" s="76" t="n">
        <x:v>0</x:v>
      </x:c>
      <x:c r="D46" s="76" t="n">
        <x:v>35102</x:v>
      </x:c>
      <x:c r="E46" s="76" t="n">
        <x:v>15</x:v>
      </x:c>
      <x:c r="F46" s="76" t="n">
        <x:v>20017</x:v>
      </x:c>
      <x:c r="G46" s="76" t="n">
        <x:v>1</x:v>
      </x:c>
      <x:c r="H46" s="76" t="n">
        <x:v>114</x:v>
      </x:c>
      <x:c r="I46" s="76" t="n">
        <x:v>0</x:v>
      </x:c>
      <x:c r="J46" s="76" t="n">
        <x:v>0</x:v>
      </x:c>
      <x:c r="K46" s="76" t="n">
        <x:v>115</x:v>
      </x:c>
      <x:c r="L46" s="70" t="inlineStr">
        <x:is>
          <x:t xml:space="preserve">media/other/18081311537515326.heic</x:t>
        </x:is>
      </x:c>
      <x:c r="M46" s="70" t="inlineStr">
        <x:is>
          <x:t xml:space="preserve">ACIRV na 96 FM 🎙️
O vice-presidente da ACIRV, @raphael_valongo, participou do programa da 96 FM, onde apresentou um balanço das principais ações desenvolvidas pela entidade ao longo do último semestre e também trouxe atualizações sobre os números e as projeções da Sudoexpo 2026.
Durante a entrevista, Raphael destacou o trabalho institucional da ACIRV, o fortalecimento do associativismo, a atuação em defesa do setor produtivo e o posicionamento da entidade como voz ativa dos empresários de Rio Verde e região, além de compartilhar dados que reforçam a importância econômica e social da Sudoexpo para o município.
A participação reforça o compromisso da ACIRV com a transparência, a comunicação e o diálogo direto com a sociedade.
#ACIRVe96FM #associe #rioverde #sudoexpo2026</x:t>
        </x:is>
      </x:c>
    </x:row>
    <x:row r="47" s="39" customFormat="1" ht="134.3000030517578" customHeight="1">
      <x:c r="A47" s="80" t="n">
        <x:v>46006</x:v>
      </x:c>
      <x:c r="B47" s="70" t="inlineStr">
        <x:is>
          <x:t xml:space="preserve">2025-12</x:t>
        </x:is>
      </x:c>
      <x:c r="C47" s="76" t="n">
        <x:v>4</x:v>
      </x:c>
      <x:c r="D47" s="76" t="n">
        <x:v>4601</x:v>
      </x:c>
      <x:c r="E47" s="76" t="n">
        <x:v>0</x:v>
      </x:c>
      <x:c r="F47" s="76" t="n">
        <x:v>4349</x:v>
      </x:c>
      <x:c r="G47" s="76" t="n">
        <x:v>0</x:v>
      </x:c>
      <x:c r="H47" s="76" t="n">
        <x:v>90</x:v>
      </x:c>
      <x:c r="I47" s="76" t="n">
        <x:v>4</x:v>
      </x:c>
      <x:c r="J47" s="76" t="n">
        <x:v>2</x:v>
      </x:c>
      <x:c r="K47" s="76" t="n">
        <x:v>96</x:v>
      </x:c>
      <x:c r="L47" s="70" t="inlineStr">
        <x:is>
          <x:t xml:space="preserve">media/other/17920432179070572.jpg</x:t>
        </x:is>
      </x:c>
      <x:c r="M47" s="70" t="inlineStr">
        <x:is>
          <x:t xml:space="preserve">Nesta manhã de segunda-feira, o presidente da ACIRV, José Carlos Cintra, acompanhado do vice-presidente Gustavo Lacerda, esteve no Sindicato Rural de Rio Verde para uma reunião de alinhamento entre as entidades.
O encontro reforça o diálogo institucional e a união de esforços em pautas estratégicas para o fortalecimento do setor produtivo e o desenvolvimento de Rio Verde. 
@everaldo_agrocerradao
@srrioverde
#representatividade #acirv #rioverde</x:t>
        </x:is>
      </x:c>
    </x:row>
    <x:row r="48" s="39" customFormat="1" ht="103.5999984741211" customHeight="1">
      <x:c r="A48" s="80" t="n">
        <x:v>46003</x:v>
      </x:c>
      <x:c r="B48" s="70" t="inlineStr">
        <x:is>
          <x:t xml:space="preserve">2025-12</x:t>
        </x:is>
      </x:c>
      <x:c r="C48" s="76" t="n">
        <x:v>4</x:v>
      </x:c>
      <x:c r="D48" s="76" t="n">
        <x:v>483</x:v>
      </x:c>
      <x:c r="E48" s="76" t="n">
        <x:v>0</x:v>
      </x:c>
      <x:c r="F48" s="76" t="n">
        <x:v>422</x:v>
      </x:c>
      <x:c r="G48" s="76" t="n">
        <x:v>0</x:v>
      </x:c>
      <x:c r="H48" s="76" t="n">
        <x:v>4</x:v>
      </x:c>
      <x:c r="I48" s="76" t="n">
        <x:v>0</x:v>
      </x:c>
      <x:c r="J48" s="76" t="n">
        <x:v>0</x:v>
      </x:c>
      <x:c r="K48" s="76" t="n">
        <x:v>4</x:v>
      </x:c>
      <x:c r="L48" s="70" t="inlineStr">
        <x:is>
          <x:t xml:space="preserve">media/other/18033646022738002.heic</x:t>
        </x:is>
      </x:c>
      <x:c r="M48" s="70" t="inlineStr">
        <x:is>
          <x:t xml:space="preserve">Evento adiado por segurança
Em razão da previsão de temporal, com possibilidade de chuva forte, o evento foi adiado para garantir a segurança dos participantes e uma melhor experiência para todos. A nova data está confirmada para domingo, 21 de dezembro, às 13h, no Ginásio do Bairro Promissão. A ação é uma iniciativa do Projeto Sorriso em parceria com a ACIRV.
#ACIRVapoia #rioverde #SorrisoVerdadeiro</x:t>
        </x:is>
      </x:c>
    </x:row>
    <x:row r="49" s="39" customFormat="1" ht="400.6000061035156" customHeight="1">
      <x:c r="A49" s="80" t="n">
        <x:v>46002</x:v>
      </x:c>
      <x:c r="B49" s="70" t="inlineStr">
        <x:is>
          <x:t xml:space="preserve">2025-12</x:t>
        </x:is>
      </x:c>
      <x:c r="C49" s="76" t="n">
        <x:v>2</x:v>
      </x:c>
      <x:c r="D49" s="76" t="n">
        <x:v>814</x:v>
      </x:c>
      <x:c r="E49" s="76" t="n">
        <x:v>0</x:v>
      </x:c>
      <x:c r="F49" s="76" t="n">
        <x:v>789</x:v>
      </x:c>
      <x:c r="G49" s="76" t="n">
        <x:v>0</x:v>
      </x:c>
      <x:c r="H49" s="76" t="n">
        <x:v>23</x:v>
      </x:c>
      <x:c r="I49" s="76" t="n">
        <x:v>2</x:v>
      </x:c>
      <x:c r="J49" s="76" t="n">
        <x:v>4</x:v>
      </x:c>
      <x:c r="K49" s="76" t="n">
        <x:v>29</x:v>
      </x:c>
      <x:c r="L49" s="70" t="inlineStr">
        <x:is>
          <x:t xml:space="preserve">media/other/17875418940452528.jpg</x:t>
        </x:is>
      </x:c>
      <x:c r="M49" s="70" t="inlineStr">
        <x:is>
          <x:t xml:space="preserve">Agradecemos a presença de todos!
A última reunião ordinária da Diretoria Executiva da ACIRV foi concluída com êxito, reunindo representantes que contribuíram de forma significativa para o fortalecimento das decisões da entidade.
O encontro marcou o encerramento das atividades diretivas do ano e reforçou o compromisso da Associação de Comércios e Indústrias de Rio Verde em manter uma gestão transparente, participativa e alinhada às demandas do setor produtivo.
Ao longo da reunião, cada membro apresentou colaborações relevantes, enriquecendo os debates e auxiliando na construção de estratégias que irão orientar as ações da ACIRV no próximo ciclo. A participação ativa da diretoria reafirma o papel da entidade como ponte entre as necessidades do empresariado e o desenvolvimento sustentável de Rio Verde.
Um agradecimento especial a @adega.salgados pelos deliciosos panetones 😋
@aplausoaudiovisual 
@pedropaullo 
@gustavo.lacerda.hoxter 
@keniasleite 
@rcadria 
@trrpetrorio 
@marceloxvxv 
@domgabrielrv 
@edneyarakaki 
@arturpagnoncelli 
@wenyaalecrim 
@janainemarquez 
@gabrielmoraes.tributario 
@suelyturra 
@raphael_valongo 
@_rodrigo_s_s_ 
#ACIRVreuniao #rioverde #associe</x:t>
        </x:is>
      </x:c>
    </x:row>
    <x:row r="50" s="39" customFormat="1" ht="267.45001220703125" customHeight="1">
      <x:c r="A50" s="80" t="n">
        <x:v>45996</x:v>
      </x:c>
      <x:c r="B50" s="70" t="inlineStr">
        <x:is>
          <x:t xml:space="preserve">2025-12</x:t>
        </x:is>
      </x:c>
      <x:c r="C50" s="76" t="n">
        <x:v>1</x:v>
      </x:c>
      <x:c r="D50" s="76" t="n">
        <x:v>279</x:v>
      </x:c>
      <x:c r="E50" s="76" t="n">
        <x:v>0</x:v>
      </x:c>
      <x:c r="F50" s="76" t="n">
        <x:v>243</x:v>
      </x:c>
      <x:c r="G50" s="76" t="n">
        <x:v>0</x:v>
      </x:c>
      <x:c r="H50" s="76" t="n">
        <x:v>6</x:v>
      </x:c>
      <x:c r="I50" s="76" t="n">
        <x:v>0</x:v>
      </x:c>
      <x:c r="J50" s="76" t="n">
        <x:v>0</x:v>
      </x:c>
      <x:c r="K50" s="76" t="n">
        <x:v>6</x:v>
      </x:c>
      <x:c r="L50" s="70" t="inlineStr">
        <x:is>
          <x:t xml:space="preserve">media/other/18074405039209828.heic</x:t>
        </x:is>
      </x:c>
      <x:c r="M50" s="70" t="inlineStr">
        <x:is>
          <x:t xml:space="preserve">Qual o ROI (Retorno sobre investimento) de um sorriso?
Falamos diariamente sobre margens, KPIs e crescimento. Mas existe um ativo intangível que nenhuma planilha calcula, mas que define o caráter de uma comunidade de negócios: a solidariedade.
Para a ACIRV, o investimento no bem-estar da nossa comunidade é um dos ativos mais valiosos. Convido você, empresário e associado, a transformar o sucesso da sua empresa em impacto social na nossa comunidade. Mobilize sua equipe, crie uma cultura de doação e participe desta corrente.
Como sua empresa pode gerar esse ROI social? 
🧸 Doando brinquedos (novos ou em bom estado) na sede da ACIRV. 
📲 Ou contribuindo via Pix para a compra de presentes: centrocomunitarioafrica@gmail.com
⚠️ Importante: Ao fazer o Pix, envie o comprovante para o WhatsApp da ACIRV (64) 3620-0199 para nosso controle de transparência.
📅 Prazo: Até 12/12. 
📍 Ação Social: 14/12 no Bairro Promissão.
Vamos mostrar a força do empresariado de Rio Verde.</x:t>
        </x:is>
      </x:c>
    </x:row>
    <x:row r="51" s="39" customFormat="1" ht="175.3000030517578" customHeight="1">
      <x:c r="A51" s="80" t="n">
        <x:v>45996</x:v>
      </x:c>
      <x:c r="B51" s="70" t="inlineStr">
        <x:is>
          <x:t xml:space="preserve">2025-12</x:t>
        </x:is>
      </x:c>
      <x:c r="C51" s="76" t="n">
        <x:v>2</x:v>
      </x:c>
      <x:c r="D51" s="76" t="n">
        <x:v>330</x:v>
      </x:c>
      <x:c r="E51" s="76" t="n">
        <x:v>0</x:v>
      </x:c>
      <x:c r="F51" s="76" t="n">
        <x:v>292</x:v>
      </x:c>
      <x:c r="G51" s="76" t="n">
        <x:v>0</x:v>
      </x:c>
      <x:c r="H51" s="76" t="n">
        <x:v>6</x:v>
      </x:c>
      <x:c r="I51" s="76" t="n">
        <x:v>0</x:v>
      </x:c>
      <x:c r="J51" s="76" t="n">
        <x:v>1</x:v>
      </x:c>
      <x:c r="K51" s="76" t="n">
        <x:v>7</x:v>
      </x:c>
      <x:c r="L51" s="70" t="inlineStr">
        <x:is>
          <x:t xml:space="preserve">media/other/18093260005907528.heic</x:t>
        </x:is>
      </x:c>
      <x:c r="M51" s="70" t="inlineStr">
        <x:is>
          <x:t xml:space="preserve">Estamos na reta final! Você tem até o dia 12/12 para transformar sua doação em um sorriso verdadeiro. Sua contribuição fará o Natal de uma criança brilhar mais forte. Não deixe para depois!
🧸 Doe brinquedos (novos ou em bom estado) na sede da ACIRV. 
📲 Ou contribua via Pix para a compra de presentes: centrocomunitarioafrica@gmail.com
⚠️ Importante: Ao fazer o Pix, envie o comprovante para o WhatsApp da ACIRV (64) 3620-0199 para nosso controle de transparência.
📅 Prazo: Até 12/12.
📍 Ação Social: 14/12 no Bairro Promissão.
#acirv #SorrisoVerdadeiro #doesorrisos</x:t>
        </x:is>
      </x:c>
    </x:row>
    <x:row r="52" s="39" customFormat="1" ht="257.20001220703125" customHeight="1">
      <x:c r="A52" s="80" t="n">
        <x:v>45995</x:v>
      </x:c>
      <x:c r="B52" s="70" t="inlineStr">
        <x:is>
          <x:t xml:space="preserve">2025-12</x:t>
        </x:is>
      </x:c>
      <x:c r="C52" s="76" t="n">
        <x:v>2</x:v>
      </x:c>
      <x:c r="D52" s="76" t="n">
        <x:v>336</x:v>
      </x:c>
      <x:c r="E52" s="76" t="n">
        <x:v>0</x:v>
      </x:c>
      <x:c r="F52" s="76" t="n">
        <x:v>263</x:v>
      </x:c>
      <x:c r="G52" s="76" t="n">
        <x:v>0</x:v>
      </x:c>
      <x:c r="H52" s="76" t="n">
        <x:v>13</x:v>
      </x:c>
      <x:c r="I52" s="76" t="n">
        <x:v>0</x:v>
      </x:c>
      <x:c r="J52" s="76" t="n">
        <x:v>0</x:v>
      </x:c>
      <x:c r="K52" s="76" t="n">
        <x:v>13</x:v>
      </x:c>
      <x:c r="L52" s="70" t="inlineStr">
        <x:is>
          <x:t xml:space="preserve">media/other/17887582128401909.heic</x:t>
        </x:is>
      </x:c>
      <x:c r="M52" s="70" t="inlineStr">
        <x:is>
          <x:t xml:space="preserve">Imagine isso: você entra em uma sala e, em vez daquela tensão fria de "tenho que vender meu peixe", você sente o cheiro de café fresco e vê sorrisos abertos. ☕✨
Isso é a ACIRV.
Muitos acham que fazer networking é trocar cartões de visita com pressa. Nós acreditamos que é sobre trocar histórias e criar confiança. É aquele momento de "Sincronia" onde você percebe: “Ei, essa pessoa tem a solução que eu precisava!”
Aqui na ACIRV, transformamos a burocracia em conexão. Seja no Café entre Amigos, nas rodadas do Conecta ACIRV ou nos corredores da SUDOEXPO, o ambiente é desenhado para que você se sinta em casa enquanto sua empresa cresce.
🚀 Quer fazer parte de um grupo que impulsiona o seu sucesso com leveza?
Toque no link da bio, venha tomar um café com a gente e sinta a diferença na pele. A ACIRV tem história, e queremos você no próximo capítulo dela.
#AAcirvTemHistória #NetworkingDeVerdade #RioVerde #Empreendedorismo #ConexãoReal #ACIRV</x:t>
        </x:is>
      </x:c>
    </x:row>
    <x:row r="53" s="39" customFormat="1" ht="52.400001525878906" customHeight="1">
      <x:c r="A53" s="80" t="n">
        <x:v>45993</x:v>
      </x:c>
      <x:c r="B53" s="70" t="inlineStr">
        <x:is>
          <x:t xml:space="preserve">2025-12</x:t>
        </x:is>
      </x:c>
      <x:c r="C53" s="76" t="n">
        <x:v>4</x:v>
      </x:c>
      <x:c r="D53" s="76" t="n">
        <x:v>711</x:v>
      </x:c>
      <x:c r="E53" s="76" t="n">
        <x:v>0</x:v>
      </x:c>
      <x:c r="F53" s="76" t="n">
        <x:v>690</x:v>
      </x:c>
      <x:c r="G53" s="76" t="n">
        <x:v>1</x:v>
      </x:c>
      <x:c r="H53" s="76" t="n">
        <x:v>34</x:v>
      </x:c>
      <x:c r="I53" s="76" t="n">
        <x:v>0</x:v>
      </x:c>
      <x:c r="J53" s="76" t="n">
        <x:v>0</x:v>
      </x:c>
      <x:c r="K53" s="76" t="n">
        <x:v>35</x:v>
      </x:c>
      <x:c r="L53" s="70" t="inlineStr">
        <x:is>
          <x:t xml:space="preserve">media/other/18296224429275967.jpg</x:t>
        </x:is>
      </x:c>
      <x:c r="M53" s="70" t="inlineStr">
        <x:is>
          <x:t xml:space="preserve">Reunião de trabalho com o vice presidente da CAM/ACIRV e demais advogados para falar sobre ações e demandas da Câmara de Arbitragem e Mediação para 2026.
#acirv #rioverde #camacirv</x:t>
        </x:is>
      </x:c>
    </x:row>
    <x:row r="54" s="39" customFormat="1" ht="216.25" customHeight="1">
      <x:c r="A54" s="80" t="n">
        <x:v>45982</x:v>
      </x:c>
      <x:c r="B54" s="70" t="inlineStr">
        <x:is>
          <x:t xml:space="preserve">2025-11</x:t>
        </x:is>
      </x:c>
      <x:c r="C54" s="76" t="n">
        <x:v>6</x:v>
      </x:c>
      <x:c r="D54" s="76" t="n">
        <x:v>1932</x:v>
      </x:c>
      <x:c r="E54" s="76" t="n">
        <x:v>0</x:v>
      </x:c>
      <x:c r="F54" s="76" t="n">
        <x:v>1472</x:v>
      </x:c>
      <x:c r="G54" s="76" t="n">
        <x:v>2</x:v>
      </x:c>
      <x:c r="H54" s="76" t="n">
        <x:v>38</x:v>
      </x:c>
      <x:c r="I54" s="76" t="n">
        <x:v>3</x:v>
      </x:c>
      <x:c r="J54" s="76" t="n">
        <x:v>10</x:v>
      </x:c>
      <x:c r="K54" s="76" t="n">
        <x:v>53</x:v>
      </x:c>
      <x:c r="L54" s="70" t="inlineStr">
        <x:is>
          <x:t xml:space="preserve">media/other/18086577670789069.heic</x:t>
        </x:is>
      </x:c>
      <x:c r="M54" s="70" t="inlineStr">
        <x:is>
          <x:t xml:space="preserve">O custo invisível da desatenção. 📉
Você sabia que a falta de foco pode estar drenando o lucro da sua empresa silenciosamente? Um erro operacional, uma falha de comunicação, um detalhe perdido... tudo isso tem um preço.
No dia 27 de novembro, vamos receber um especialista que une a Antropologia à Neurociência para te ensinar a blindar sua mente e seus negócios.
Venha aprender sobre Gestão da Atenção e pare de deixar dinheiro na mesa.
☕ Evento: Café entre Amigos
📅 Data e hora: 27/11 às 07h30
🤝 Patrocínio: Pax Rio Verde
Inscreva-se pelo link na bio!
#ACIRV #CaféEntreAmigos #Gestão #Liderança #Produtividade #NegóciosRioVerde</x:t>
        </x:is>
      </x:c>
    </x:row>
    <x:row r="55" s="39" customFormat="1" ht="42.150001525878906" customHeight="1">
      <x:c r="A55" s="80" t="n">
        <x:v>45972</x:v>
      </x:c>
      <x:c r="B55" s="70" t="inlineStr">
        <x:is>
          <x:t xml:space="preserve">2025-11</x:t>
        </x:is>
      </x:c>
      <x:c r="C55" s="76" t="n">
        <x:v>7</x:v>
      </x:c>
      <x:c r="D55" s="76" t="n">
        <x:v>799</x:v>
      </x:c>
      <x:c r="E55" s="76" t="n">
        <x:v>0</x:v>
      </x:c>
      <x:c r="F55" s="76" t="n">
        <x:v>724</x:v>
      </x:c>
      <x:c r="G55" s="76" t="n">
        <x:v>0</x:v>
      </x:c>
      <x:c r="H55" s="76" t="n">
        <x:v>38</x:v>
      </x:c>
      <x:c r="I55" s="76" t="n">
        <x:v>1</x:v>
      </x:c>
      <x:c r="J55" s="76" t="n">
        <x:v>2</x:v>
      </x:c>
      <x:c r="K55" s="76" t="n">
        <x:v>41</x:v>
      </x:c>
      <x:c r="L55" s="70" t="inlineStr">
        <x:is>
          <x:t xml:space="preserve">media/other/17930282565134599.jpg</x:t>
        </x:is>
      </x:c>
      <x:c r="M55" s="70" t="inlineStr">
        <x:is>
          <x:t xml:space="preserve">Nesta terça-feira (11/11), a ACIRV teve a satisfação de receber os novos associados para um café com o presidente.
#acirv #associe-se</x:t>
        </x:is>
      </x:c>
    </x:row>
    <x:row r="56" s="39" customFormat="1" ht="42.150001525878906" customHeight="1">
      <x:c r="A56" s="80" t="n">
        <x:v>45972</x:v>
      </x:c>
      <x:c r="B56" s="70" t="inlineStr">
        <x:is>
          <x:t xml:space="preserve">2025-11</x:t>
        </x:is>
      </x:c>
      <x:c r="C56" s="76" t="n">
        <x:v>6</x:v>
      </x:c>
      <x:c r="D56" s="76" t="n">
        <x:v>654</x:v>
      </x:c>
      <x:c r="E56" s="76" t="n">
        <x:v>0</x:v>
      </x:c>
      <x:c r="F56" s="76" t="n">
        <x:v>595</x:v>
      </x:c>
      <x:c r="G56" s="76" t="n">
        <x:v>0</x:v>
      </x:c>
      <x:c r="H56" s="76" t="n">
        <x:v>37</x:v>
      </x:c>
      <x:c r="I56" s="76" t="n">
        <x:v>0</x:v>
      </x:c>
      <x:c r="J56" s="76" t="n">
        <x:v>0</x:v>
      </x:c>
      <x:c r="K56" s="76" t="n">
        <x:v>37</x:v>
      </x:c>
      <x:c r="L56" s="70" t="inlineStr">
        <x:is>
          <x:t xml:space="preserve">media/other/18086092546811816.jpg</x:t>
        </x:is>
      </x:c>
      <x:c r="M56" s="70" t="inlineStr">
        <x:is>
          <x:t xml:space="preserve">A ACIRV teve a honra de receber nesta terça-feira (11/11) a presença dos ex presidentes Rubens Leão e Ivo Marques Júnior.
#acirv</x:t>
        </x:is>
      </x:c>
    </x:row>
    <x:row r="57" s="39" customFormat="1" ht="298.1499938964844" customHeight="1">
      <x:c r="A57" s="80" t="n">
        <x:v>45972</x:v>
      </x:c>
      <x:c r="B57" s="70" t="inlineStr">
        <x:is>
          <x:t xml:space="preserve">2025-11</x:t>
        </x:is>
      </x:c>
      <x:c r="C57" s="76" t="n">
        <x:v>1</x:v>
      </x:c>
      <x:c r="D57" s="76" t="n">
        <x:v>451</x:v>
      </x:c>
      <x:c r="E57" s="76" t="n">
        <x:v>0</x:v>
      </x:c>
      <x:c r="F57" s="76" t="n">
        <x:v>407</x:v>
      </x:c>
      <x:c r="G57" s="76" t="n">
        <x:v>0</x:v>
      </x:c>
      <x:c r="H57" s="76" t="n">
        <x:v>21</x:v>
      </x:c>
      <x:c r="I57" s="76" t="n">
        <x:v>0</x:v>
      </x:c>
      <x:c r="J57" s="76" t="n">
        <x:v>0</x:v>
      </x:c>
      <x:c r="K57" s="76" t="n">
        <x:v>21</x:v>
      </x:c>
      <x:c r="L57" s="70" t="inlineStr">
        <x:is>
          <x:t xml:space="preserve">media/other/18114549877497352.jpg</x:t>
        </x:is>
      </x:c>
      <x:c r="M57" s="70" t="inlineStr">
        <x:is>
          <x:t xml:space="preserve">Em um movimento que demonstra força e coesão, empresários, produtores e integradores do setor de energia fotovoltaica reuniram-se na ACIRV nesta segunda-feira (10/11). O objetivo central: debater e traçar estratégias para solucionar os entraves sistêmicos que vêm impactando a aprovação de novos projetos na região, gerando um clima de insegurança jurídica e freando o desenvolvimento econômico.
O ponto de convergência entre os participantes foi a crescente dificuldade imposta pela concessionária de energia, marcada pela falta de clareza nos processos e por barreiras que ameaçam a viabilidade de dezenas de empreendimentos. A situação atual não afeta apenas os empresários, mas toda a cadeia produtiva, incluindo empregos, investimentos e a transição para uma matriz energética mais limpa.
Mais do que um diagnóstico de problemas, o encontro marcou o início de uma agenda de trabalho conjunta. Com a presença de representantes do PROCON, da Câmara de Vereadores, do executivo municipal e da esfera federal, ficou clara a mensagem de que o setor está organizado e buscará, de forma coordenada, o diálogo e as vias institucionais para garantir o cumprimento das normas e a previsibilidade necessária para se investir.
Este foi um passo decisivo. A união de vozes de hoje é o alicerce para a construção de um ambiente de negócios mais justo e transparente para todos.
#acirv #rioverde #energiafotovoltaica</x:t>
        </x:is>
      </x:c>
    </x:row>
    <x:row r="58" s="39" customFormat="1" ht="175.3000030517578" customHeight="1">
      <x:c r="A58" s="80" t="n">
        <x:v>45967</x:v>
      </x:c>
      <x:c r="B58" s="70" t="inlineStr">
        <x:is>
          <x:t xml:space="preserve">2025-11</x:t>
        </x:is>
      </x:c>
      <x:c r="C58" s="76" t="n">
        <x:v>0</x:v>
      </x:c>
      <x:c r="D58" s="76" t="n">
        <x:v>206</x:v>
      </x:c>
      <x:c r="E58" s="76" t="n">
        <x:v>0</x:v>
      </x:c>
      <x:c r="F58" s="76" t="n">
        <x:v>191</x:v>
      </x:c>
      <x:c r="G58" s="76" t="n">
        <x:v>0</x:v>
      </x:c>
      <x:c r="H58" s="76" t="n">
        <x:v>7</x:v>
      </x:c>
      <x:c r="I58" s="76" t="n">
        <x:v>0</x:v>
      </x:c>
      <x:c r="J58" s="76" t="n">
        <x:v>0</x:v>
      </x:c>
      <x:c r="K58" s="76" t="n">
        <x:v>7</x:v>
      </x:c>
      <x:c r="L58" s="70" t="inlineStr">
        <x:is>
          <x:t xml:space="preserve">media/other/18189247138327887.heic</x:t>
        </x:is>
      </x:c>
      <x:c r="M58" s="70" t="inlineStr">
        <x:is>
          <x:t xml:space="preserve">O 1º Treinamento Integrado do PAMRV - ocorrido nesta quinta-feira (06) - reforça o compromisso conjunto entre o Corpo de Bombeiros Militar do Estado de Goiás (CBMGO) e as empresas participantes em prol da segurança de todos.
Com a presença de profissionais da área de Segurança do Trabalho, o treinamento técnico proporcionou troca de experiências e aprimoramento das práticas de resposta a emergências.
A ACIRV tem orgulho de apoiar e acompanhar esta iniciativa desde o seu início, reconhecendo que a integração entre o poder público e a iniciativa privada é essencial para fortalecer a capacidade de prevenção e atuação do nosso município.
#ACIRVapoia #ACIRVePAMRV #EmergênciasEIncêndios #RioVerde</x:t>
        </x:is>
      </x:c>
    </x:row>
    <x:row r="59" s="39" customFormat="1" ht="72.8499984741211" customHeight="1">
      <x:c r="A59" s="80" t="n">
        <x:v>45967</x:v>
      </x:c>
      <x:c r="B59" s="70" t="inlineStr">
        <x:is>
          <x:t xml:space="preserve">2025-11</x:t>
        </x:is>
      </x:c>
      <x:c r="C59" s="76" t="n">
        <x:v>6</x:v>
      </x:c>
      <x:c r="D59" s="76" t="n">
        <x:v>225</x:v>
      </x:c>
      <x:c r="E59" s="76" t="n">
        <x:v>0</x:v>
      </x:c>
      <x:c r="F59" s="76" t="n">
        <x:v>205</x:v>
      </x:c>
      <x:c r="G59" s="76" t="n">
        <x:v>0</x:v>
      </x:c>
      <x:c r="H59" s="76" t="n">
        <x:v>9</x:v>
      </x:c>
      <x:c r="I59" s="76" t="n">
        <x:v>0</x:v>
      </x:c>
      <x:c r="J59" s="76" t="n">
        <x:v>1</x:v>
      </x:c>
      <x:c r="K59" s="76" t="n">
        <x:v>10</x:v>
      </x:c>
      <x:c r="L59" s="70" t="inlineStr">
        <x:is>
          <x:t xml:space="preserve">media/other/18029058449544150.jpg</x:t>
        </x:is>
      </x:c>
      <x:c r="M59" s="70" t="inlineStr">
        <x:is>
          <x:t xml:space="preserve">8 mil vozes, ideias e negócios conectados por um mesmo propósito: fortalecer quem empreende! 
Nosso MUITO OBRIGADO a cada um por fazer parte dessa história que estamos construindo 💙
#SomosACIRV #EmpreenderTransforma</x:t>
        </x:is>
      </x:c>
    </x:row>
    <x:row r="60" s="39" customFormat="1" ht="226.5" customHeight="1">
      <x:c r="A60" s="80" t="n">
        <x:v>45966</x:v>
      </x:c>
      <x:c r="B60" s="70" t="inlineStr">
        <x:is>
          <x:t xml:space="preserve">2025-11</x:t>
        </x:is>
      </x:c>
      <x:c r="C60" s="76" t="n">
        <x:v>1</x:v>
      </x:c>
      <x:c r="D60" s="76" t="n">
        <x:v>414</x:v>
      </x:c>
      <x:c r="E60" s="76" t="n">
        <x:v>0</x:v>
      </x:c>
      <x:c r="F60" s="76" t="n">
        <x:v>348</x:v>
      </x:c>
      <x:c r="G60" s="76" t="n">
        <x:v>0</x:v>
      </x:c>
      <x:c r="H60" s="76" t="n">
        <x:v>12</x:v>
      </x:c>
      <x:c r="I60" s="76" t="n">
        <x:v>0</x:v>
      </x:c>
      <x:c r="J60" s="76" t="n">
        <x:v>1</x:v>
      </x:c>
      <x:c r="K60" s="76" t="n">
        <x:v>13</x:v>
      </x:c>
      <x:c r="L60" s="70" t="inlineStr">
        <x:is>
          <x:t xml:space="preserve">media/other/17962748763004216.heic</x:t>
        </x:is>
      </x:c>
      <x:c r="M60" s="70" t="inlineStr">
        <x:is>
          <x:t xml:space="preserve">Faltam poucas horas para aproveitar o valor atual!
O 1º Fórum de IA da ACIRV está chegando e o lote muda HOJE!
Quer estar por dentro das inovações que estão transformando o mercado? Então já garanta seu ingresso com preço especial!
O evento será: 
📅 12 de novembro
🕢 7h30 às 18h
📍 Na ACIRV (rua Dona Maricota, 199 - Setor Marconal)
🎟️ O preço do ingresso muda hoje para associados e não associados.
Vale reforçar que o evento é 100% presencial. Clique aqui, acompanhe a programação completa e adquira seu ingresso: https://shre.ink/primeiroforumdeiadaacirv.
#ACIRVeventos #FórumDeIAdaACIRV #InteligênciaArtificial #RioVerde</x:t>
        </x:is>
      </x:c>
    </x:row>
    <x:row r="61" s="39" customFormat="1" ht="175.3000030517578" customHeight="1">
      <x:c r="A61" s="80" t="n">
        <x:v>45965</x:v>
      </x:c>
      <x:c r="B61" s="70" t="inlineStr">
        <x:is>
          <x:t xml:space="preserve">2025-11</x:t>
        </x:is>
      </x:c>
      <x:c r="C61" s="76" t="n">
        <x:v>1</x:v>
      </x:c>
      <x:c r="D61" s="76" t="n">
        <x:v>940</x:v>
      </x:c>
      <x:c r="E61" s="76" t="n">
        <x:v>1</x:v>
      </x:c>
      <x:c r="F61" s="76" t="n">
        <x:v>769</x:v>
      </x:c>
      <x:c r="G61" s="76" t="n">
        <x:v>0</x:v>
      </x:c>
      <x:c r="H61" s="76" t="n">
        <x:v>24</x:v>
      </x:c>
      <x:c r="I61" s="76" t="n">
        <x:v>0</x:v>
      </x:c>
      <x:c r="J61" s="76" t="n">
        <x:v>7</x:v>
      </x:c>
      <x:c r="K61" s="76" t="n">
        <x:v>31</x:v>
      </x:c>
      <x:c r="L61" s="70" t="inlineStr">
        <x:is>
          <x:t xml:space="preserve">media/other/18063011090426308.heic</x:t>
        </x:is>
      </x:c>
      <x:c r="M61" s="70" t="inlineStr">
        <x:is>
          <x:t xml:space="preserve">📢 Uma conexão que transforma!
A ACIRV, por meio do Núcleo Setorial da Saúde, convida você para um evento feito para gerar networking, parceria e crescimento entre profissionais da Saúde.
🩺 Conecta Saúde
📅 04 de dezembro 
🕕 18h30
📍 ACIRV (rua Dona Maricota, 199 - Setor Marconal)
🔒 Exclusivo para profissionais e negócios do setor da Saúde.
💬 Inscreva-se pelos canais oficiais da ACIRV.
#ACIRVeventos #ConectaSaúde #SetorDaSaúde #RioVerde</x:t>
        </x:is>
      </x:c>
    </x:row>
    <x:row r="62" s="39" customFormat="1" ht="226.5" customHeight="1">
      <x:c r="A62" s="80" t="n">
        <x:v>45964</x:v>
      </x:c>
      <x:c r="B62" s="70" t="inlineStr">
        <x:is>
          <x:t xml:space="preserve">2025-11</x:t>
        </x:is>
      </x:c>
      <x:c r="C62" s="76" t="n">
        <x:v>1</x:v>
      </x:c>
      <x:c r="D62" s="76" t="n">
        <x:v>451</x:v>
      </x:c>
      <x:c r="E62" s="76" t="n">
        <x:v>2</x:v>
      </x:c>
      <x:c r="F62" s="76" t="n">
        <x:v>305</x:v>
      </x:c>
      <x:c r="G62" s="76" t="n">
        <x:v>1</x:v>
      </x:c>
      <x:c r="H62" s="76" t="n">
        <x:v>4</x:v>
      </x:c>
      <x:c r="I62" s="76" t="n">
        <x:v>0</x:v>
      </x:c>
      <x:c r="J62" s="76" t="n">
        <x:v>1</x:v>
      </x:c>
      <x:c r="K62" s="76" t="n">
        <x:v>6</x:v>
      </x:c>
      <x:c r="L62" s="70" t="inlineStr">
        <x:is>
          <x:t xml:space="preserve">media/other/18089310905478739.heic</x:t>
        </x:is>
      </x:c>
      <x:c r="M62" s="70" t="inlineStr">
        <x:is>
          <x:t xml:space="preserve">Já pensou em transformar cada interação com seu cliente em uma oportunidade de sucesso?
A ACIRV - em parceria com o SEBRAE - traz para você a oficina “In Book - Sucesso do Cliente”, um encontro prático para quem quer criar conexões mais fortes e duradouras com o público.
Aprenda a aplicar o mindset de Customer Success para fidelizar, gerar valor e conquistar melhores resultados.
📅 04 de novembro
🕖 19h
📍 ACIRV (rua Dona Maricota, 199 - Jardim Marconal)
Vamos juntos aprender a:
✅ Ser mais proativo no atendimento;
✅ Construir relações genuínas;
✅ Enxergar o processo de vendas de forma completa.
Vale reforçar que as inscrições são gratuitas, mas as vagas são limitadas. Faça sua inscrição pelo link: https://shre.ink/oficinasebraesucessodocliente.</x:t>
        </x:is>
      </x:c>
    </x:row>
    <x:row r="63" s="39" customFormat="1" ht="144.5500030517578" customHeight="1">
      <x:c r="A63" s="80" t="n">
        <x:v>45964</x:v>
      </x:c>
      <x:c r="B63" s="70" t="inlineStr">
        <x:is>
          <x:t xml:space="preserve">2025-11</x:t>
        </x:is>
      </x:c>
      <x:c r="C63" s="76" t="n">
        <x:v>1</x:v>
      </x:c>
      <x:c r="D63" s="76" t="n">
        <x:v>391</x:v>
      </x:c>
      <x:c r="E63" s="76" t="n">
        <x:v>0</x:v>
      </x:c>
      <x:c r="F63" s="76" t="n">
        <x:v>335</x:v>
      </x:c>
      <x:c r="G63" s="76" t="n">
        <x:v>0</x:v>
      </x:c>
      <x:c r="H63" s="76" t="n">
        <x:v>10</x:v>
      </x:c>
      <x:c r="I63" s="76" t="n">
        <x:v>0</x:v>
      </x:c>
      <x:c r="J63" s="76" t="n">
        <x:v>3</x:v>
      </x:c>
      <x:c r="K63" s="76" t="n">
        <x:v>13</x:v>
      </x:c>
      <x:c r="L63" s="70" t="inlineStr">
        <x:is>
          <x:t xml:space="preserve">media/other/18057819101257411.heic</x:t>
        </x:is>
      </x:c>
      <x:c r="M63" s="70" t="inlineStr">
        <x:is>
          <x:t xml:space="preserve">O Fórum que vai conectar Inteligência Artificial e negócios está chegando!
Mas atenção: o lote muda em 2 dias - e os ingressos estão voando!
Garanta já sua vaga no 1º Fórum de IA da ACIRV.
🗓️ 12 de novembro
🕖 7h30 às 18h 
📍ACIRV (rua Dona Maricota, 199 - Setor Marconal) 
Veja a programação e garanta seu ingresso pelo link:  https://shre.ink/primeiroforumdeiadaacirv.</x:t>
        </x:is>
      </x:c>
    </x:row>
    <x:row r="64" s="39" customFormat="1" ht="195.75" customHeight="1">
      <x:c r="A64" s="80" t="n">
        <x:v>45962</x:v>
      </x:c>
      <x:c r="B64" s="70" t="inlineStr">
        <x:is>
          <x:t xml:space="preserve">2025-11</x:t>
        </x:is>
      </x:c>
      <x:c r="C64" s="76" t="n">
        <x:v>0</x:v>
      </x:c>
      <x:c r="D64" s="76" t="n">
        <x:v>257</x:v>
      </x:c>
      <x:c r="E64" s="76" t="n">
        <x:v>0</x:v>
      </x:c>
      <x:c r="F64" s="76" t="n">
        <x:v>238</x:v>
      </x:c>
      <x:c r="G64" s="76" t="n">
        <x:v>0</x:v>
      </x:c>
      <x:c r="H64" s="76" t="n">
        <x:v>7</x:v>
      </x:c>
      <x:c r="I64" s="76" t="n">
        <x:v>2</x:v>
      </x:c>
      <x:c r="J64" s="76" t="n">
        <x:v>1</x:v>
      </x:c>
      <x:c r="K64" s="76" t="n">
        <x:v>10</x:v>
      </x:c>
      <x:c r="L64" s="70" t="inlineStr">
        <x:is>
          <x:t xml:space="preserve">media/other/18005578574816850.heic</x:t>
        </x:is>
      </x:c>
      <x:c r="M64" s="70" t="inlineStr">
        <x:is>
          <x:t xml:space="preserve">Novembro Azul é um lembrete importante: cuidar da saúde também é um ato de coragem.
Segundo a Sociedade Brasileira de Urologia (SBU), quando o câncer de próstata é detectado precocemente, as chances de cura podem chegar a 98%.
Mesmo assim, o Instituto Nacional de Câncer (Inca) estima que mais de 71 mil novos casos surjam no Brasil apenas este ano. Em 2023, a doença foi responsável por 17.093 mortes, uma média de 47 vidas perdidas por dia.
A ACIRV apoia a campanha Novembro Azul, reforçando a importância da prevenção e do diagnóstico precoce. Cuidar da saúde é o melhor investimento que o homem pode fazer em si mesmo! 💙
ACIRVapoia #NovembroAzul #SaúdeDoHomem #PrevençãoÉACura #RioVerde</x:t>
        </x:is>
      </x:c>
    </x:row>
    <x:row r="65" s="39" customFormat="1" ht="134.3000030517578" customHeight="1">
      <x:c r="A65" s="80" t="n">
        <x:v>45959</x:v>
      </x:c>
      <x:c r="B65" s="70" t="inlineStr">
        <x:is>
          <x:t xml:space="preserve">2025-10</x:t>
        </x:is>
      </x:c>
      <x:c r="C65" s="76" t="n">
        <x:v>4</x:v>
      </x:c>
      <x:c r="D65" s="76" t="n">
        <x:v>785</x:v>
      </x:c>
      <x:c r="E65" s="76" t="n">
        <x:v>0</x:v>
      </x:c>
      <x:c r="F65" s="76" t="n">
        <x:v>671</x:v>
      </x:c>
      <x:c r="G65" s="76" t="n">
        <x:v>0</x:v>
      </x:c>
      <x:c r="H65" s="76" t="n">
        <x:v>45</x:v>
      </x:c>
      <x:c r="I65" s="76" t="n">
        <x:v>6</x:v>
      </x:c>
      <x:c r="J65" s="76" t="n">
        <x:v>2</x:v>
      </x:c>
      <x:c r="K65" s="76" t="n">
        <x:v>53</x:v>
      </x:c>
      <x:c r="L65" s="70" t="inlineStr">
        <x:is>
          <x:t xml:space="preserve">media/other/18089305405931075.jpg</x:t>
        </x:is>
      </x:c>
      <x:c r="M65" s="70" t="inlineStr">
        <x:is>
          <x:t xml:space="preserve">Tem novidade chegando na ACIRV! 
É com alegria que damos boas-vindas à nova associada Andréa Tartuce Advocacia (@andreatartuceadv).
Com experiência nas áreas de Direito Tributário, Sucessório, Contratual e Planejamento Patrimonial, o escritório se destaca por oferecer soluções jurídicas completas e personalizadas.
Seja muito bem-vinda, Andréa! Que essa parceria traga ainda mais conexões e crescimento para todos nós.
#ACIRVassociados #ACIRVeAndréaTartuceAdvocacia #Direito #RioVerde</x:t>
        </x:is>
      </x:c>
    </x:row>
    <x:row r="66" s="39" customFormat="1" ht="124.05000305175781" customHeight="1">
      <x:c r="A66" s="80" t="n">
        <x:v>45954</x:v>
      </x:c>
      <x:c r="B66" s="70" t="inlineStr">
        <x:is>
          <x:t xml:space="preserve">2025-10</x:t>
        </x:is>
      </x:c>
      <x:c r="C66" s="76" t="n">
        <x:v>1</x:v>
      </x:c>
      <x:c r="D66" s="76" t="n">
        <x:v>2640</x:v>
      </x:c>
      <x:c r="E66" s="76" t="n">
        <x:v>2</x:v>
      </x:c>
      <x:c r="F66" s="76" t="n">
        <x:v>2304</x:v>
      </x:c>
      <x:c r="G66" s="76" t="n">
        <x:v>1</x:v>
      </x:c>
      <x:c r="H66" s="76" t="n">
        <x:v>78</x:v>
      </x:c>
      <x:c r="I66" s="76" t="n">
        <x:v>8</x:v>
      </x:c>
      <x:c r="J66" s="76" t="n">
        <x:v>2</x:v>
      </x:c>
      <x:c r="K66" s="76" t="n">
        <x:v>89</x:v>
      </x:c>
      <x:c r="L66" s="70" t="inlineStr">
        <x:is>
          <x:t xml:space="preserve">media/other/18063201704574046.heic</x:t>
        </x:is>
      </x:c>
      <x:c r="M66" s="70" t="inlineStr">
        <x:is>
          <x:t xml:space="preserve">Hoje foi dia de celebrar conquistas! 
O presidente da ACIRV José Carlos Cintra esteve com a equipe do Grupo Futura, empresa associada que acaba de completar 10 anos de muito trabalho e crescimento.
Momentos como esse devem ser registrados. Diante disso, a associação segue incentivando o desenvolvimento e o fortalecimento das empresas rioverdenses.
#ACIRVassociados #ACIRVeGrupoFutura #10AnosGrupoFutura #RioVerde</x:t>
        </x:is>
      </x:c>
    </x:row>
    <x:row r="67" s="39" customFormat="1" ht="124.05000305175781" customHeight="1">
      <x:c r="A67" s="80" t="n">
        <x:v>45954</x:v>
      </x:c>
      <x:c r="B67" s="70" t="inlineStr">
        <x:is>
          <x:t xml:space="preserve">2025-10</x:t>
        </x:is>
      </x:c>
      <x:c r="C67" s="76" t="n">
        <x:v>0</x:v>
      </x:c>
      <x:c r="D67" s="76" t="n">
        <x:v>1492</x:v>
      </x:c>
      <x:c r="E67" s="76" t="n">
        <x:v>0</x:v>
      </x:c>
      <x:c r="F67" s="76" t="n">
        <x:v>1193</x:v>
      </x:c>
      <x:c r="G67" s="76" t="n">
        <x:v>0</x:v>
      </x:c>
      <x:c r="H67" s="76" t="n">
        <x:v>28</x:v>
      </x:c>
      <x:c r="I67" s="76" t="n">
        <x:v>10</x:v>
      </x:c>
      <x:c r="J67" s="76" t="n">
        <x:v>36</x:v>
      </x:c>
      <x:c r="K67" s="76" t="n">
        <x:v>74</x:v>
      </x:c>
      <x:c r="L67" s="70" t="inlineStr">
        <x:is>
          <x:t xml:space="preserve">media/other/17863885833498592.heic</x:t>
        </x:is>
      </x:c>
      <x:c r="M67" s="70" t="inlineStr">
        <x:is>
          <x:t xml:space="preserve">A ACIRV parabeniza o Grupo Futura pelos seus 10 anos de trajetória!
Uma década construída com transparência, credibilidade e dedicação, sempre buscando oferecer o melhor aos clientes e parceiros.
Que esta caminhada de sucesso e crescimento continue inspirando o empreendedorismo em nossa região.
#ACIRVhomenageia #ACIRVassociados #ACIRVeGrupoFutura #RioVerde</x:t>
        </x:is>
      </x:c>
    </x:row>
    <x:row r="68" s="39" customFormat="1" ht="154.8000030517578" customHeight="1">
      <x:c r="A68" s="80" t="n">
        <x:v>45954</x:v>
      </x:c>
      <x:c r="B68" s="70" t="inlineStr">
        <x:is>
          <x:t xml:space="preserve">2025-10</x:t>
        </x:is>
      </x:c>
      <x:c r="C68" s="76" t="n">
        <x:v>3</x:v>
      </x:c>
      <x:c r="D68" s="76" t="n">
        <x:v>435</x:v>
      </x:c>
      <x:c r="E68" s="76" t="n">
        <x:v>0</x:v>
      </x:c>
      <x:c r="F68" s="76" t="n">
        <x:v>400</x:v>
      </x:c>
      <x:c r="G68" s="76" t="n">
        <x:v>0</x:v>
      </x:c>
      <x:c r="H68" s="76" t="n">
        <x:v>10</x:v>
      </x:c>
      <x:c r="I68" s="76" t="n">
        <x:v>0</x:v>
      </x:c>
      <x:c r="J68" s="76" t="n">
        <x:v>0</x:v>
      </x:c>
      <x:c r="K68" s="76" t="n">
        <x:v>10</x:v>
      </x:c>
      <x:c r="L68" s="70" t="inlineStr">
        <x:is>
          <x:t xml:space="preserve">media/other/17926986462116362.heic</x:t>
        </x:is>
      </x:c>
      <x:c r="M68" s="70" t="inlineStr">
        <x:is>
          <x:t xml:space="preserve">A ACIRV tem mais uma parceira que chegou para gerar economia e sustentabilidade!
Seja bem-vinda, Poupp Energia (@poupp.oficial): a nossa mais nova especialista em reduzir os custos de energia elétrica de empresas e residências.
Ela traz soluções inteligentes que podem ajudar a diminuir até 30% da sua fatura de luz, sem complicação. 
Mais economia, mais eficiência, mais energia para investir no que importa!
#ACIRVassociados #ACIRVePouppEnergia #EnergiaInteligente #RioVerde</x:t>
        </x:is>
      </x:c>
    </x:row>
    <x:row r="69" s="39" customFormat="1" ht="236.6999969482422" customHeight="1">
      <x:c r="A69" s="80" t="n">
        <x:v>45954</x:v>
      </x:c>
      <x:c r="B69" s="70" t="inlineStr">
        <x:is>
          <x:t xml:space="preserve">2025-10</x:t>
        </x:is>
      </x:c>
      <x:c r="C69" s="76" t="n">
        <x:v>2</x:v>
      </x:c>
      <x:c r="D69" s="76" t="n">
        <x:v>648</x:v>
      </x:c>
      <x:c r="E69" s="76" t="n">
        <x:v>0</x:v>
      </x:c>
      <x:c r="F69" s="76" t="n">
        <x:v>609</x:v>
      </x:c>
      <x:c r="G69" s="76" t="n">
        <x:v>0</x:v>
      </x:c>
      <x:c r="H69" s="76" t="n">
        <x:v>16</x:v>
      </x:c>
      <x:c r="I69" s="76" t="n">
        <x:v>2</x:v>
      </x:c>
      <x:c r="J69" s="76" t="n">
        <x:v>0</x:v>
      </x:c>
      <x:c r="K69" s="76" t="n">
        <x:v>18</x:v>
      </x:c>
      <x:c r="L69" s="70" t="inlineStr">
        <x:is>
          <x:t xml:space="preserve">media/other/18077435333130157.heic</x:t>
        </x:is>
      </x:c>
      <x:c r="M69" s="70" t="inlineStr">
        <x:is>
          <x:t xml:space="preserve">A ACIRV foi representada pelo vice-presidente de Comércio, Gustavo Lacerda - engenheiro eletricista e empresário do Setor Elétrico - no Workshop da Equatorial Goiás, realizado nesta semana, na sede da concessionária, em Goiânia. O encontro reuniu grandes consumidores do Grupo A, além de autoridades e representantes do Setor Elétrico Goiano, para discutir o tema “Otimização dos Custos da Fatura de Alta Tensão”.
A presença da ACIRV reforça o compromisso da entidade em acompanhar e contribuir com debates que influenciam diretamente a competitividade e a eficiência das empresas da região, especialmente aquelas com elevado consumo de energia. Estar presente nesses espaços é essencial para que a associação siga atuando em prol da redução de custos e da gestão inteligente dos recursos energéticos, fortalecendo o ambiente de negócios local.
Parabenizamos a Equatorial Goiás pela iniciativa e agradecemos pelo convite e pela oportunidade de participar desse importante diálogo!
#ACIRVreuniões #ACIRVeEquatorialGoiás #SetorElétrico #Goiás #RioVerde</x:t>
        </x:is>
      </x:c>
    </x:row>
    <x:row r="70" s="39" customFormat="1" ht="144.5500030517578" customHeight="1">
      <x:c r="A70" s="80" t="n">
        <x:v>45952</x:v>
      </x:c>
      <x:c r="B70" s="70" t="inlineStr">
        <x:is>
          <x:t xml:space="preserve">2025-10</x:t>
        </x:is>
      </x:c>
      <x:c r="C70" s="76" t="n">
        <x:v>6</x:v>
      </x:c>
      <x:c r="D70" s="76" t="n">
        <x:v>522</x:v>
      </x:c>
      <x:c r="E70" s="76" t="n">
        <x:v>0</x:v>
      </x:c>
      <x:c r="F70" s="76" t="n">
        <x:v>498</x:v>
      </x:c>
      <x:c r="G70" s="76" t="n">
        <x:v>0</x:v>
      </x:c>
      <x:c r="H70" s="76" t="n">
        <x:v>21</x:v>
      </x:c>
      <x:c r="I70" s="76" t="n">
        <x:v>1</x:v>
      </x:c>
      <x:c r="J70" s="76" t="n">
        <x:v>0</x:v>
      </x:c>
      <x:c r="K70" s="76" t="n">
        <x:v>22</x:v>
      </x:c>
      <x:c r="L70" s="70" t="inlineStr">
        <x:is>
          <x:t xml:space="preserve">media/other/18141850384439708.heic</x:t>
        </x:is>
      </x:c>
      <x:c r="M70" s="70" t="inlineStr">
        <x:is>
          <x:t xml:space="preserve">Temos novidade boa por aqui!
Trata-se da Frutbras Pescados (@frutbras), uma empresa que une variedade, qualidade e praticidade em um só lugar: peixes frescos, polpas de frutas e uma linha completa de produtos orientais pra dar aquele toque especial às suas receitas.
Uma peixaria e empório que tem tudo para facilitar o seu dia a dia com muito sabor.
Seja bem-vinda, equipe Frutbras Pescados, à família ACIRV!
#ACIRVassociados #ACIRVeFrutbrasPescados #PeixariaeEmpório #RioVerde</x:t>
        </x:is>
      </x:c>
    </x:row>
    <x:row r="71" s="39" customFormat="1" ht="154.8000030517578" customHeight="1">
      <x:c r="A71" s="80" t="n">
        <x:v>45952</x:v>
      </x:c>
      <x:c r="B71" s="70" t="inlineStr">
        <x:is>
          <x:t xml:space="preserve">2025-10</x:t>
        </x:is>
      </x:c>
      <x:c r="C71" s="76" t="n">
        <x:v>0</x:v>
      </x:c>
      <x:c r="D71" s="76" t="n">
        <x:v>2417</x:v>
      </x:c>
      <x:c r="E71" s="76" t="n">
        <x:v>0</x:v>
      </x:c>
      <x:c r="F71" s="76" t="n">
        <x:v>1882</x:v>
      </x:c>
      <x:c r="G71" s="76" t="n">
        <x:v>2</x:v>
      </x:c>
      <x:c r="H71" s="76" t="n">
        <x:v>36</x:v>
      </x:c>
      <x:c r="I71" s="76" t="n">
        <x:v>0</x:v>
      </x:c>
      <x:c r="J71" s="76" t="n">
        <x:v>15</x:v>
      </x:c>
      <x:c r="K71" s="76" t="n">
        <x:v>53</x:v>
      </x:c>
      <x:c r="L71" s="70" t="inlineStr">
        <x:is>
          <x:t xml:space="preserve">media/other/18094716907835416.heic</x:t>
        </x:is>
      </x:c>
      <x:c r="M71" s="70" t="inlineStr">
        <x:is>
          <x:t xml:space="preserve">Vem aí o Happy Hour dos Associados ACIRV!
Um encontro com música ao vivo, clima descontraído e a chance de fortalecer seu networking com outros(as) empresários(as) da região.
👥 Cada empresa pode levar até 2 participantes;
✅ Evento exclusivo para associados em dia com a ACIRV;
📞 Confirmação obrigatória: (64) 3620-0199;
⚠️ Vagas limitadas!
Participe e aproveite esse momento de troca e conexão!
#ACIRVeventos #HappyHourDosAssociados #DescontraçãoeNetworking #RioVerde</x:t>
        </x:is>
      </x:c>
    </x:row>
    <x:row r="72" s="39" customFormat="1" ht="287.95001220703125" customHeight="1">
      <x:c r="A72" s="80" t="n">
        <x:v>45952</x:v>
      </x:c>
      <x:c r="B72" s="70" t="inlineStr">
        <x:is>
          <x:t xml:space="preserve">2025-10</x:t>
        </x:is>
      </x:c>
      <x:c r="C72" s="76" t="n">
        <x:v>5</x:v>
      </x:c>
      <x:c r="D72" s="76" t="n">
        <x:v>1472</x:v>
      </x:c>
      <x:c r="E72" s="76" t="n">
        <x:v>1</x:v>
      </x:c>
      <x:c r="F72" s="76" t="n">
        <x:v>1117</x:v>
      </x:c>
      <x:c r="G72" s="76" t="n">
        <x:v>0</x:v>
      </x:c>
      <x:c r="H72" s="76" t="n">
        <x:v>32</x:v>
      </x:c>
      <x:c r="I72" s="76" t="n">
        <x:v>2</x:v>
      </x:c>
      <x:c r="J72" s="76" t="n">
        <x:v>6</x:v>
      </x:c>
      <x:c r="K72" s="76" t="n">
        <x:v>40</x:v>
      </x:c>
      <x:c r="L72" s="70" t="inlineStr">
        <x:is>
          <x:t xml:space="preserve">media/other/17930701746105727.jpg</x:t>
        </x:is>
      </x:c>
      <x:c r="M72" s="70" t="inlineStr">
        <x:is>
          <x:t xml:space="preserve">AÇÃO SOLIDÁRIA! Há 16 anos, o Projeto Sorriso Verdadeiro leva alegria, solidariedade e esperança a centenas de famílias em Rio Verde. Com ações que unem cidadania, saúde, lazer e amor, o projeto transforma bairros inteiros com tardes de cuidado e sorrisos sinceros. 💙
Neste ano, a ACIRV se junta à causa e se torna ponto oficial de coleta de brinquedos para a grande ação social de fim de ano, que acontecerá no dia 14 de dezembro, na Praça do Bairro Promissão.
Você pode participar doando brinquedos novos ou em bom estado até o dia 12/12, diretamente na sede da ACIRV.
Ou contribuir para a compra de brinquedos via pix: centrocomunitarioafrica@gmail.com. 
PS: O comprovante pix deve ser enviado para o WhatsApp da ACIRV (64)3620.0199 para controle. 
Vamos juntos transformar generosidade em alegria e fazer o Natal brilhar ainda mais forte em Rio Verde.
Não é apenas doação de brinquedos. 
Doe sorrisos. Doe esperança.
PARTICIPE! 🤍🧚🏼‍♀️👩🏿‍🤝‍👨🏾🦄🐞
#DoeSorrisos #NatalSolidário #ACIRV #SorrisoVerdadeiro #RioVerde #EmpresariadoComPropósito</x:t>
        </x:is>
      </x:c>
    </x:row>
    <x:row r="73" s="39" customFormat="1" ht="124.05000305175781" customHeight="1">
      <x:c r="A73" s="80" t="n">
        <x:v>45951</x:v>
      </x:c>
      <x:c r="B73" s="70" t="inlineStr">
        <x:is>
          <x:t xml:space="preserve">2025-10</x:t>
        </x:is>
      </x:c>
      <x:c r="C73" s="76" t="n">
        <x:v>7</x:v>
      </x:c>
      <x:c r="D73" s="76" t="n">
        <x:v>724</x:v>
      </x:c>
      <x:c r="E73" s="76" t="n">
        <x:v>1</x:v>
      </x:c>
      <x:c r="F73" s="76" t="n">
        <x:v>627</x:v>
      </x:c>
      <x:c r="G73" s="76" t="n">
        <x:v>1</x:v>
      </x:c>
      <x:c r="H73" s="76" t="n">
        <x:v>11</x:v>
      </x:c>
      <x:c r="I73" s="76" t="n">
        <x:v>0</x:v>
      </x:c>
      <x:c r="J73" s="76" t="n">
        <x:v>2</x:v>
      </x:c>
      <x:c r="K73" s="76" t="n">
        <x:v>14</x:v>
      </x:c>
      <x:c r="L73" s="70" t="inlineStr">
        <x:is>
          <x:t xml:space="preserve">media/other/18094411234648440.heic</x:t>
        </x:is>
      </x:c>
      <x:c r="M73" s="70" t="inlineStr">
        <x:is>
          <x:t xml:space="preserve">ATENÇÃO: Café Entre Amigos de outubro foi cancelado! 
Por motivo de saúde da nossa palestrante, o Café Entre Amigos, marcado para esta quinta-feira (23), não poderá acontecer.
A ACIRV se solidariza com a profissional e deseja uma breve recuperação.
Agradecemos pela compreensão e carinho de todos(as). Em breve, divulgaremos uma nova data para nos encontrarmos!
#ACIRVeventos  #CaféEntreAmigos #Comunicado #RioVerde</x:t>
        </x:is>
      </x:c>
    </x:row>
    <x:row r="74" s="39" customFormat="1" ht="165.0500030517578" customHeight="1">
      <x:c r="A74" s="80" t="n">
        <x:v>45951</x:v>
      </x:c>
      <x:c r="B74" s="70" t="inlineStr">
        <x:is>
          <x:t xml:space="preserve">2025-10</x:t>
        </x:is>
      </x:c>
      <x:c r="C74" s="76" t="n">
        <x:v>22</x:v>
      </x:c>
      <x:c r="D74" s="76" t="n">
        <x:v>2636</x:v>
      </x:c>
      <x:c r="E74" s="76" t="n">
        <x:v>6</x:v>
      </x:c>
      <x:c r="F74" s="76" t="n">
        <x:v>1967</x:v>
      </x:c>
      <x:c r="G74" s="76" t="n">
        <x:v>7</x:v>
      </x:c>
      <x:c r="H74" s="76" t="n">
        <x:v>60</x:v>
      </x:c>
      <x:c r="I74" s="76" t="n">
        <x:v>12</x:v>
      </x:c>
      <x:c r="J74" s="76" t="n">
        <x:v>27</x:v>
      </x:c>
      <x:c r="K74" s="76" t="n">
        <x:v>106</x:v>
      </x:c>
      <x:c r="L74" s="70" t="inlineStr">
        <x:is>
          <x:t xml:space="preserve">media/other/17912676003229206.jpg</x:t>
        </x:is>
      </x:c>
      <x:c r="M74" s="70" t="inlineStr">
        <x:is>
          <x:t xml:space="preserve">A inteligência artificial já está transformando o mundo dos negócios e agora é hora de colocar Rio Verde e o Sudoeste Goiano nessa revolução.
⠀
Participe do 1º Fórum de IA da ACIRV, um evento inédito que vai te mostrar, na prática, como usar a tecnologia para aumentar resultados, otimizar tempo e criar oportunidades.
⠀
📅 12 de novembro
📍 ACIRV – Rio Verde
🎟️ Vagas limitadas!
⠀
Faça sua inscrição pelo link na bio! 
#FórumIAACIRV #Inovação #InteligênciaArtificial #Empreendedorismo #Acirv</x:t>
        </x:is>
      </x:c>
    </x:row>
    <x:row r="75" s="39" customFormat="1" ht="185.5" customHeight="1">
      <x:c r="A75" s="80" t="n">
        <x:v>45950</x:v>
      </x:c>
      <x:c r="B75" s="70" t="inlineStr">
        <x:is>
          <x:t xml:space="preserve">2025-10</x:t>
        </x:is>
      </x:c>
      <x:c r="C75" s="76" t="n">
        <x:v>1</x:v>
      </x:c>
      <x:c r="D75" s="76" t="n">
        <x:v>2184</x:v>
      </x:c>
      <x:c r="E75" s="76" t="n">
        <x:v>0</x:v>
      </x:c>
      <x:c r="F75" s="76" t="n">
        <x:v>1725</x:v>
      </x:c>
      <x:c r="G75" s="76" t="n">
        <x:v>0</x:v>
      </x:c>
      <x:c r="H75" s="76" t="n">
        <x:v>61</x:v>
      </x:c>
      <x:c r="I75" s="76" t="n">
        <x:v>5</x:v>
      </x:c>
      <x:c r="J75" s="76" t="n">
        <x:v>2</x:v>
      </x:c>
      <x:c r="K75" s="76" t="n">
        <x:v>68</x:v>
      </x:c>
      <x:c r="L75" s="70" t="inlineStr">
        <x:is>
          <x:t xml:space="preserve">media/other/17973197189940389.heic</x:t>
        </x:is>
      </x:c>
      <x:c r="M75" s="70" t="inlineStr">
        <x:is>
          <x:t xml:space="preserve">Uma nova associada que leva seus sonhos mais longe!
A ACIRV dá as boas-vindas à JM Excursões de Turismo (@jmexcursoeseturismo), empresa que acaba de se tornar parte da nossa associação.
Com foco em excursões e viagens temáticas, a JM transforma cada roteiro em uma jornada única - seja para lazer, cultura ou diversão!
É um orgulho contar com mais um empreendimento inovador e comprometido com a excelência. Juntos, seguimos fortalecendo o turismo e os negócios em nossa cidade e região!
JM Excursões, seja muito bem-vinda à família ACIRV!
#ACIRVassociados #ACIRVeJMExcursões #TurismoCriativo #RioVerde</x:t>
        </x:is>
      </x:c>
    </x:row>
    <x:row r="76" s="39" customFormat="1" ht="206" customHeight="1">
      <x:c r="A76" s="80" t="n">
        <x:v>45947</x:v>
      </x:c>
      <x:c r="B76" s="70" t="inlineStr">
        <x:is>
          <x:t xml:space="preserve">2025-10</x:t>
        </x:is>
      </x:c>
      <x:c r="C76" s="76" t="n">
        <x:v>2</x:v>
      </x:c>
      <x:c r="D76" s="76" t="n">
        <x:v>864</x:v>
      </x:c>
      <x:c r="E76" s="76" t="n">
        <x:v>0</x:v>
      </x:c>
      <x:c r="F76" s="76" t="n">
        <x:v>797</x:v>
      </x:c>
      <x:c r="G76" s="76" t="n">
        <x:v>0</x:v>
      </x:c>
      <x:c r="H76" s="76" t="n">
        <x:v>37</x:v>
      </x:c>
      <x:c r="I76" s="76" t="n">
        <x:v>2</x:v>
      </x:c>
      <x:c r="J76" s="76" t="n">
        <x:v>2</x:v>
      </x:c>
      <x:c r="K76" s="76" t="n">
        <x:v>41</x:v>
      </x:c>
      <x:c r="L76" s="70" t="inlineStr">
        <x:is>
          <x:t xml:space="preserve">media/other/18099850897671409.heic</x:t>
        </x:is>
      </x:c>
      <x:c r="M76" s="70" t="inlineStr">
        <x:is>
          <x:t xml:space="preserve">Uma nova força se une à ACIRV!
Apresentamos com entusiasmo a Camila Santos Assessorias e Treinamentos (@camilateixeira_santos_), referência no desenvolvimento de pessoas e empresas.
Criadora do inovador Método HumAna, Camila transforma atendimentos em experiências e vendas em conexões duradouras. Ela - juntamente com sua equipe - atua com mentorias estratégicas, treinamentos, palestras e workshops que fortalecem conexões e ampliam resultados.
Sua bagagem acadêmica inclui Administração, RH, Coaching e MBAs nas áreas de Gestão e Marketing, sendo um conhecimento aplicado na prática com foco em resultados humanos e reais.
Sejam bem-vindos(as) à ACIRV, Camila e sua equipe!  
#ACIRVassociados #ACIRVeCamilaSantos #DesenvolvimentoHumano #RioVerde</x:t>
        </x:is>
      </x:c>
    </x:row>
    <x:row r="77" s="39" customFormat="1" ht="206" customHeight="1">
      <x:c r="A77" s="80" t="n">
        <x:v>45946</x:v>
      </x:c>
      <x:c r="B77" s="70" t="inlineStr">
        <x:is>
          <x:t xml:space="preserve">2025-10</x:t>
        </x:is>
      </x:c>
      <x:c r="C77" s="76" t="n">
        <x:v>4</x:v>
      </x:c>
      <x:c r="D77" s="76" t="n">
        <x:v>737</x:v>
      </x:c>
      <x:c r="E77" s="76" t="n">
        <x:v>1</x:v>
      </x:c>
      <x:c r="F77" s="76" t="n">
        <x:v>636</x:v>
      </x:c>
      <x:c r="G77" s="76" t="n">
        <x:v>3</x:v>
      </x:c>
      <x:c r="H77" s="76" t="n">
        <x:v>26</x:v>
      </x:c>
      <x:c r="I77" s="76" t="n">
        <x:v>3</x:v>
      </x:c>
      <x:c r="J77" s="76" t="n">
        <x:v>12</x:v>
      </x:c>
      <x:c r="K77" s="76" t="n">
        <x:v>44</x:v>
      </x:c>
      <x:c r="L77" s="70" t="inlineStr">
        <x:is>
          <x:t xml:space="preserve">media/other/18055903496250438.heic</x:t>
        </x:is>
      </x:c>
      <x:c r="M77" s="70" t="inlineStr">
        <x:is>
          <x:t xml:space="preserve">Encontros que inspiram e impulsionam!
No próximo 23 de outubro, às 7h30, você - empresário(a) de Rio Verde - tem um compromisso com o conhecimento e a rede de relacionamentos no nosso tradicional Café Entre Amigos.
Além de um delicioso café e ótimas conversas, teremos a palestra "Criatividade: Como Desenvolver Confiança Criativa", com a empresária da área de treinamentos Cláudia de Souza Silva - profissional cedida pelo SEBRAE - que vai trazer reflexões e aprendizados valiosos.
Vale lembrar que as vagas são limitadas. Desse modo, inscreva-se com antecedência pelo link: https://doity.com.br/caf-entre-amigos--como-desenvolver-confianca-criativa. 
Nos vemos na ACIRV para mais um encontro que faz a diferença!
#ACIRVeventos #CaféEntreAmigos #SEBRAE #RioVerde</x:t>
        </x:is>
      </x:c>
    </x:row>
    <x:row r="78" s="39" customFormat="1" ht="154.8000030517578" customHeight="1">
      <x:c r="A78" s="80" t="n">
        <x:v>45945</x:v>
      </x:c>
      <x:c r="B78" s="70" t="inlineStr">
        <x:is>
          <x:t xml:space="preserve">2025-10</x:t>
        </x:is>
      </x:c>
      <x:c r="C78" s="76" t="n">
        <x:v>10</x:v>
      </x:c>
      <x:c r="D78" s="76" t="n">
        <x:v>2235</x:v>
      </x:c>
      <x:c r="E78" s="76" t="n">
        <x:v>2</x:v>
      </x:c>
      <x:c r="F78" s="76" t="n">
        <x:v>1961</x:v>
      </x:c>
      <x:c r="G78" s="76" t="n">
        <x:v>0</x:v>
      </x:c>
      <x:c r="H78" s="76" t="n">
        <x:v>31</x:v>
      </x:c>
      <x:c r="I78" s="76" t="n">
        <x:v>1</x:v>
      </x:c>
      <x:c r="J78" s="76" t="n">
        <x:v>1</x:v>
      </x:c>
      <x:c r="K78" s="76" t="n">
        <x:v>33</x:v>
      </x:c>
      <x:c r="L78" s="70" t="inlineStr">
        <x:is>
          <x:t xml:space="preserve">media/other/18097370905786893.heic</x:t>
        </x:is>
      </x:c>
      <x:c r="M78" s="70" t="inlineStr">
        <x:is>
          <x:t xml:space="preserve">Mais uma grande empresa chega para somar com a ACIRV!
Trata-se da CM Veículos (@cmveiculos.rv), empresa que se destaca no mercado goiano pela oferta de seminovos cuidadosamente selecionados, com procedência comprovada e garantia.
Além disso, oferece atendimento em todo o estado e condições facilitadas de financiamento para quem quer realizar o sonho do carro ideal.
Seja muito bem-vinda, família CM Veículos! 
#ACIRVassociados #ACIRVeCMVeículos #SetorAutomotivo #RioVerde</x:t>
        </x:is>
      </x:c>
    </x:row>
    <x:row r="79" s="39" customFormat="1" ht="103.5999984741211" customHeight="1">
      <x:c r="A79" s="80" t="n">
        <x:v>45945</x:v>
      </x:c>
      <x:c r="B79" s="70" t="inlineStr">
        <x:is>
          <x:t xml:space="preserve">2025-10</x:t>
        </x:is>
      </x:c>
      <x:c r="C79" s="76" t="n">
        <x:v>1</x:v>
      </x:c>
      <x:c r="D79" s="76" t="n">
        <x:v>189</x:v>
      </x:c>
      <x:c r="E79" s="76" t="n">
        <x:v>0</x:v>
      </x:c>
      <x:c r="F79" s="76" t="n">
        <x:v>177</x:v>
      </x:c>
      <x:c r="G79" s="76" t="n">
        <x:v>0</x:v>
      </x:c>
      <x:c r="H79" s="76" t="n">
        <x:v>8</x:v>
      </x:c>
      <x:c r="I79" s="76" t="n">
        <x:v>0</x:v>
      </x:c>
      <x:c r="J79" s="76" t="n">
        <x:v>0</x:v>
      </x:c>
      <x:c r="K79" s="76" t="n">
        <x:v>8</x:v>
      </x:c>
      <x:c r="L79" s="70" t="inlineStr">
        <x:is>
          <x:t xml:space="preserve">media/other/18074544869176759.heic</x:t>
        </x:is>
      </x:c>
      <x:c r="M79" s="70" t="inlineStr">
        <x:is>
          <x:t xml:space="preserve">O desenvolvimento de uma cidade começa na sala de aula.
A ACIRV reconhece o papel essencial dos professores de Rio Verde e de todo o país na formação de cidadãos, profissionais e empreendedores do futuro.
👩‍🏫👨‍🏫 Feliz Dia dos Professores!
#ACIRVhomenageia #15DeOutubro #DiaDosProfessores #Educação #RioVerde</x:t>
        </x:is>
      </x:c>
    </x:row>
    <x:row r="80" s="39" customFormat="1" ht="165.0500030517578" customHeight="1">
      <x:c r="A80" s="80" t="n">
        <x:v>45944</x:v>
      </x:c>
      <x:c r="B80" s="70" t="inlineStr">
        <x:is>
          <x:t xml:space="preserve">2025-10</x:t>
        </x:is>
      </x:c>
      <x:c r="C80" s="76" t="n">
        <x:v>2</x:v>
      </x:c>
      <x:c r="D80" s="76" t="n">
        <x:v>860</x:v>
      </x:c>
      <x:c r="E80" s="76" t="n">
        <x:v>0</x:v>
      </x:c>
      <x:c r="F80" s="76" t="n">
        <x:v>776</x:v>
      </x:c>
      <x:c r="G80" s="76" t="n">
        <x:v>0</x:v>
      </x:c>
      <x:c r="H80" s="76" t="n">
        <x:v>56</x:v>
      </x:c>
      <x:c r="I80" s="76" t="n">
        <x:v>0</x:v>
      </x:c>
      <x:c r="J80" s="76" t="n">
        <x:v>0</x:v>
      </x:c>
      <x:c r="K80" s="76" t="n">
        <x:v>56</x:v>
      </x:c>
      <x:c r="L80" s="70" t="inlineStr">
        <x:is>
          <x:t xml:space="preserve">media/other/18050586812329507.heic</x:t>
        </x:is>
      </x:c>
      <x:c r="M80" s="70" t="inlineStr">
        <x:is>
          <x:t xml:space="preserve">Novo associado na ACIRV!
A ACIRV dá as boas-vindas à Santiago Sociedade Individual de Advocacia (@euner.adv), referência em proteção e defesa jurídica para médicos.
A empresa atua com foco em prevenir riscos legais, orientar condutas profissionais e preservar a carreira de seus clientes com segurança e discrição.
É um orgulho ter ao nosso lado mais uma empresa que valoriza a excelência e a responsabilidade!
#ACIRVassociados #ACIRVESantiagoSociedadeIndividualDeAdvocacia #ProteçãoEDefesaJurídicaParaMédicos #RioVerde</x:t>
        </x:is>
      </x:c>
    </x:row>
    <x:row r="81" s="39" customFormat="1" ht="165.0500030517578" customHeight="1">
      <x:c r="A81" s="80" t="n">
        <x:v>45943</x:v>
      </x:c>
      <x:c r="B81" s="70" t="inlineStr">
        <x:is>
          <x:t xml:space="preserve">2025-10</x:t>
        </x:is>
      </x:c>
      <x:c r="C81" s="76" t="n">
        <x:v>0</x:v>
      </x:c>
      <x:c r="D81" s="76" t="n">
        <x:v>1472</x:v>
      </x:c>
      <x:c r="E81" s="76" t="n">
        <x:v>0</x:v>
      </x:c>
      <x:c r="F81" s="76" t="n">
        <x:v>1198</x:v>
      </x:c>
      <x:c r="G81" s="76" t="n">
        <x:v>1</x:v>
      </x:c>
      <x:c r="H81" s="76" t="n">
        <x:v>43</x:v>
      </x:c>
      <x:c r="I81" s="76" t="n">
        <x:v>1</x:v>
      </x:c>
      <x:c r="J81" s="76" t="n">
        <x:v>2</x:v>
      </x:c>
      <x:c r="K81" s="76" t="n">
        <x:v>47</x:v>
      </x:c>
      <x:c r="L81" s="70" t="inlineStr">
        <x:is>
          <x:t xml:space="preserve">media/other/18087959398900708.heic</x:t>
        </x:is>
      </x:c>
      <x:c r="M81" s="70" t="inlineStr">
        <x:is>
          <x:t xml:space="preserve">Seja bem-vinda, Grão &amp; Prosa Café!
É com alegria que damos as boas-vindas à Grão &amp; Prosa Café (@graoeprosacafeteria), nova empresa associada da ACIRV! 
Com uma proposta única, a Grão &amp; Prosa vai muito além da xícara: oferece um ambiente acolhedor em sua cafeteria física, além de levar o melhor dos cafés especiais até eventos com sua charmosa Estação Móvel.
Seja para um café no dia a dia ou para tornar eventos ainda mais especiais, a Grão &amp; Prosa convida você a viver momentos cheios de sabor e boas conversas.
#ACIRVassociados #GrãoEProsaCafé #CaféComExperiência #EstaçãoMóvel #RioVerde</x:t>
        </x:is>
      </x:c>
    </x:row>
    <x:row r="82" s="39" customFormat="1" ht="144.5500030517578" customHeight="1">
      <x:c r="A82" s="80" t="n">
        <x:v>45942</x:v>
      </x:c>
      <x:c r="B82" s="70" t="inlineStr">
        <x:is>
          <x:t xml:space="preserve">2025-10</x:t>
        </x:is>
      </x:c>
      <x:c r="C82" s="76" t="n">
        <x:v>1</x:v>
      </x:c>
      <x:c r="D82" s="76" t="n">
        <x:v>152</x:v>
      </x:c>
      <x:c r="E82" s="76" t="n">
        <x:v>0</x:v>
      </x:c>
      <x:c r="F82" s="76" t="n">
        <x:v>137</x:v>
      </x:c>
      <x:c r="G82" s="76" t="n">
        <x:v>0</x:v>
      </x:c>
      <x:c r="H82" s="76" t="n">
        <x:v>6</x:v>
      </x:c>
      <x:c r="I82" s="76" t="n">
        <x:v>0</x:v>
      </x:c>
      <x:c r="J82" s="76" t="n">
        <x:v>0</x:v>
      </x:c>
      <x:c r="K82" s="76" t="n">
        <x:v>6</x:v>
      </x:c>
      <x:c r="L82" s="70" t="inlineStr">
        <x:is>
          <x:t xml:space="preserve">media/other/18079337033088431.heic</x:t>
        </x:is>
      </x:c>
      <x:c r="M82" s="70" t="inlineStr">
        <x:is>
          <x:t xml:space="preserve">Neste Dia das Crianças, a ACIRV celebra o futuro que está sendo construído pelas mãos e sonhos dos pequenos de hoje.
Em nossa homenagem especial, reforçamos nosso compromisso com uma Rio Verde mais próspera, humana e cheia de oportunidades para todas as gerações.
Que possamos seguir cuidando e investindo em um amanhã mais feliz para nossas crianças!
👧👦 Feliz Dia das Crianças!
#ACIRVhomenageia #12DeOutubro #DiaDasCrianças #RioVerde</x:t>
        </x:is>
      </x:c>
    </x:row>
    <x:row r="83" s="39" customFormat="1" ht="246.9499969482422" customHeight="1">
      <x:c r="A83" s="80" t="n">
        <x:v>45939</x:v>
      </x:c>
      <x:c r="B83" s="70" t="inlineStr">
        <x:is>
          <x:t xml:space="preserve">2025-10</x:t>
        </x:is>
      </x:c>
      <x:c r="C83" s="76" t="n">
        <x:v>9</x:v>
      </x:c>
      <x:c r="D83" s="76" t="n">
        <x:v>1084</x:v>
      </x:c>
      <x:c r="E83" s="76" t="n">
        <x:v>1</x:v>
      </x:c>
      <x:c r="F83" s="76" t="n">
        <x:v>873</x:v>
      </x:c>
      <x:c r="G83" s="76" t="n">
        <x:v>2</x:v>
      </x:c>
      <x:c r="H83" s="76" t="n">
        <x:v>46</x:v>
      </x:c>
      <x:c r="I83" s="76" t="n">
        <x:v>0</x:v>
      </x:c>
      <x:c r="J83" s="76" t="n">
        <x:v>13</x:v>
      </x:c>
      <x:c r="K83" s="76" t="n">
        <x:v>61</x:v>
      </x:c>
      <x:c r="L83" s="70" t="inlineStr">
        <x:is>
          <x:t xml:space="preserve">media/other/17962888952833662.heic</x:t>
        </x:is>
      </x:c>
      <x:c r="M83" s="70" t="inlineStr">
        <x:is>
          <x:t xml:space="preserve">INSCRIÇÕES ENCERRADAS: AGRADECEMOS O INTERESSE E PARTICIPAÇÃO DE TODAS(OS)! 
Já parou para pensar que a presença digital da sua empresa pode ser o diferencial que falta para seu negócio decolar?!
Desse modo, a ACIRV - por meio do ACIRV Mulher e com o apoio do Sebrae - preparou uma oficina prática para te ajudar a transformar sua visibilidade em vendas!
🗓️ Data: 30 de outubro
⏰ Horário: às 8h
📍 Local: ACIRV (rua Dona Maricota, 199 - Jardim Marconal)
Dentro do cronograma, você poderá levar de experiência: entendimento sobre os novos hábitos de consumo; como se posicionar estrategicamente no ambiente digital; planejamento de Marketing voltado para resultados e criação de estratégias personalizadas para sua marca. 
Invista em conhecimento e tenha destaque no meio digital!
#ACIRVeventos #ACIRVeSEBRAE #ACIRVMulher #MarketingDigital #Vendas #RioVerde</x:t>
        </x:is>
      </x:c>
    </x:row>
    <x:row r="84" s="39" customFormat="1" ht="124.05000305175781" customHeight="1">
      <x:c r="A84" s="80" t="n">
        <x:v>45939</x:v>
      </x:c>
      <x:c r="B84" s="70" t="inlineStr">
        <x:is>
          <x:t xml:space="preserve">2025-10</x:t>
        </x:is>
      </x:c>
      <x:c r="C84" s="76" t="n">
        <x:v>0</x:v>
      </x:c>
      <x:c r="D84" s="76" t="n">
        <x:v>760</x:v>
      </x:c>
      <x:c r="E84" s="76" t="n">
        <x:v>0</x:v>
      </x:c>
      <x:c r="F84" s="76" t="n">
        <x:v>669</x:v>
      </x:c>
      <x:c r="G84" s="76" t="n">
        <x:v>0</x:v>
      </x:c>
      <x:c r="H84" s="76" t="n">
        <x:v>37</x:v>
      </x:c>
      <x:c r="I84" s="76" t="n">
        <x:v>4</x:v>
      </x:c>
      <x:c r="J84" s="76" t="n">
        <x:v>3</x:v>
      </x:c>
      <x:c r="K84" s="76" t="n">
        <x:v>44</x:v>
      </x:c>
      <x:c r="L84" s="70" t="inlineStr">
        <x:is>
          <x:t xml:space="preserve">media/other/18057168041549516.heic</x:t>
        </x:is>
      </x:c>
      <x:c r="M84" s="70" t="inlineStr">
        <x:is>
          <x:t xml:space="preserve">Recebemos com entusiasmo a IDTAGG, nova associada da ACIRV!
Uma solução que já conquistou mais de 4.200 marcas com seu cartão digital interativo.
Com a IDTAGG (@idtaggoficial), conectar-se com clientes e gerar vendas é tão rápido quanto um toque.
Seja bem-vinda, IDTAGG!
#ACIRVassociados #IDTAGG #CartãoDigital #RioVerde</x:t>
        </x:is>
      </x:c>
    </x:row>
    <x:row r="85" s="39" customFormat="1" ht="267.45001220703125" customHeight="1">
      <x:c r="A85" s="80" t="n">
        <x:v>45939</x:v>
      </x:c>
      <x:c r="B85" s="70" t="inlineStr">
        <x:is>
          <x:t xml:space="preserve">2025-10</x:t>
        </x:is>
      </x:c>
      <x:c r="C85" s="76" t="n">
        <x:v>4</x:v>
      </x:c>
      <x:c r="D85" s="76" t="n">
        <x:v>588</x:v>
      </x:c>
      <x:c r="E85" s="76" t="n">
        <x:v>1</x:v>
      </x:c>
      <x:c r="F85" s="76" t="n">
        <x:v>535</x:v>
      </x:c>
      <x:c r="G85" s="76" t="n">
        <x:v>1</x:v>
      </x:c>
      <x:c r="H85" s="76" t="n">
        <x:v>13</x:v>
      </x:c>
      <x:c r="I85" s="76" t="n">
        <x:v>0</x:v>
      </x:c>
      <x:c r="J85" s="76" t="n">
        <x:v>3</x:v>
      </x:c>
      <x:c r="K85" s="76" t="n">
        <x:v>17</x:v>
      </x:c>
      <x:c r="L85" s="70" t="inlineStr">
        <x:is>
          <x:t xml:space="preserve">media/other/18084117014501653.heic</x:t>
        </x:is>
      </x:c>
      <x:c r="M85" s="70" t="inlineStr">
        <x:is>
          <x:t xml:space="preserve">📢 Atenção, profissionais e lideranças da Saúde em Rio Verde!
O Núcleo Setorial de Saúde da ACIRV convida você para a apresentação do Plano de Ação construído coletivamente na Oficina de Planejamento Estratégico.
📅 Data: 15 de outubro
⏰ Horário: às 18h30
📍 Local: ACIRV (rua Dona Maricota, 199 - Jardim Marconal)
📝 Neste encontro, vamos compartilhar os resultados do trabalho realizado em conjunto, apresentar as prioridades definidas e alinhar os próximos passos para fortalecer o setor da Saúde em Rio Verde.
Sua presença é fundamental para validar, apoiar e dar vida às ações planejadas. 
Vale lembrar que para participar, é necessário realizar a inscrição pelo link: https://forms.gle/KEvkBgMRfAngWUaG7.
Seja você também, um protagonista na construção de um segmento mais organizado, inovador e preparado para o futuro!
#ACIRVeventos #NúcleoSetorialDeSaúdeDaSaúde #PlanoDeAção #ProfissionaisDeSaúde #RioVerde</x:t>
        </x:is>
      </x:c>
    </x:row>
    <x:row r="86" s="39" customFormat="1" ht="175.3000030517578" customHeight="1">
      <x:c r="A86" s="80" t="n">
        <x:v>45939</x:v>
      </x:c>
      <x:c r="B86" s="70" t="inlineStr">
        <x:is>
          <x:t xml:space="preserve">2025-10</x:t>
        </x:is>
      </x:c>
      <x:c r="C86" s="76" t="n">
        <x:v>4</x:v>
      </x:c>
      <x:c r="D86" s="76" t="n">
        <x:v>666</x:v>
      </x:c>
      <x:c r="E86" s="76" t="n">
        <x:v>0</x:v>
      </x:c>
      <x:c r="F86" s="76" t="n">
        <x:v>576</x:v>
      </x:c>
      <x:c r="G86" s="76" t="n">
        <x:v>0</x:v>
      </x:c>
      <x:c r="H86" s="76" t="n">
        <x:v>21</x:v>
      </x:c>
      <x:c r="I86" s="76" t="n">
        <x:v>0</x:v>
      </x:c>
      <x:c r="J86" s="76" t="n">
        <x:v>3</x:v>
      </x:c>
      <x:c r="K86" s="76" t="n">
        <x:v>24</x:v>
      </x:c>
      <x:c r="L86" s="70" t="inlineStr">
        <x:is>
          <x:t xml:space="preserve">media/other/18103498870543205.heic</x:t>
        </x:is>
      </x:c>
      <x:c r="M86" s="70" t="inlineStr">
        <x:is>
          <x:t xml:space="preserve">Encerramos as inscrições para a 3ª edição do Conecta ACIRV!
Agradecemos a todos os que se inscreveram e demonstraram interesse em fazer parte deste grande movimento de conexão, inovação e empreendedorismo!
Nosso agradecimento especial aos patrocinadores que tornam este projeto possível. É com esse apoio que seguimos fortalecendo o ecossistema de negócios da nossa região.
Vale ressaltar, que os participantes selecionados para o evento desta quinta-feira (09), estão sendo notificados pela equipe do Conecta ACIRV. Portanto, fiquem atentos(as) aos contatos fornecidos no ato da inscrição!
ACIRVeventos #ConectaACIRV #Empreendedorismo #Negócios #RioVerde</x:t>
        </x:is>
      </x:c>
    </x:row>
    <x:row r="87" s="39" customFormat="1" ht="226.5" customHeight="1">
      <x:c r="A87" s="80" t="n">
        <x:v>45938</x:v>
      </x:c>
      <x:c r="B87" s="70" t="inlineStr">
        <x:is>
          <x:t xml:space="preserve">2025-10</x:t>
        </x:is>
      </x:c>
      <x:c r="C87" s="76" t="n">
        <x:v>7</x:v>
      </x:c>
      <x:c r="D87" s="76" t="n">
        <x:v>571</x:v>
      </x:c>
      <x:c r="E87" s="76" t="n">
        <x:v>0</x:v>
      </x:c>
      <x:c r="F87" s="76" t="n">
        <x:v>507</x:v>
      </x:c>
      <x:c r="G87" s="76" t="n">
        <x:v>3</x:v>
      </x:c>
      <x:c r="H87" s="76" t="n">
        <x:v>23</x:v>
      </x:c>
      <x:c r="I87" s="76" t="n">
        <x:v>0</x:v>
      </x:c>
      <x:c r="J87" s="76" t="n">
        <x:v>22</x:v>
      </x:c>
      <x:c r="K87" s="76" t="n">
        <x:v>48</x:v>
      </x:c>
      <x:c r="L87" s="70" t="inlineStr">
        <x:is>
          <x:t xml:space="preserve">media/other/17925504012015951.heic</x:t>
        </x:is>
      </x:c>
      <x:c r="M87" s="70" t="inlineStr">
        <x:is>
          <x:t xml:space="preserve">🚨 ATENÇÃO: A ACIRV INFORMA QUE AS INSCRIÇÕES FORAM ENCERRADAS! 
Empreender também é saber sentir e decidir com inteligência emocional!
Participe da oficina gratuita promovida pela ACIRV - em parceria com o SEBRAE - e descubra como a inteligência emocional pode transformar sua forma de tomar decisões.
Será uma noite prática e enriquecedora para quem deseja:
✨ Tornar-se um(a) líder mais consciente;
✨ Tomar decisões com mais segurança;
✨ Usar as emoções a favor dos resultados.
📅 14 de outubro
⏰  às 19h
📍 ACIRV (rua Dona Maricota, 199 - Jardim Marconal)
#ACIRVeventos #ACIRVeSEBRAE #InteligênciaEmocional #OficinaEmpresarial #RioVerde</x:t>
        </x:is>
      </x:c>
    </x:row>
    <x:row r="88" s="39" customFormat="1" ht="113.8499984741211" customHeight="1">
      <x:c r="A88" s="80" t="n">
        <x:v>45937</x:v>
      </x:c>
      <x:c r="B88" s="70" t="inlineStr">
        <x:is>
          <x:t xml:space="preserve">2025-10</x:t>
        </x:is>
      </x:c>
      <x:c r="C88" s="76" t="n">
        <x:v>10</x:v>
      </x:c>
      <x:c r="D88" s="76" t="n">
        <x:v>1481</x:v>
      </x:c>
      <x:c r="E88" s="76" t="n">
        <x:v>2</x:v>
      </x:c>
      <x:c r="F88" s="76" t="n">
        <x:v>1154</x:v>
      </x:c>
      <x:c r="G88" s="76" t="n">
        <x:v>0</x:v>
      </x:c>
      <x:c r="H88" s="76" t="n">
        <x:v>65</x:v>
      </x:c>
      <x:c r="I88" s="76" t="n">
        <x:v>9</x:v>
      </x:c>
      <x:c r="J88" s="76" t="n">
        <x:v>3</x:v>
      </x:c>
      <x:c r="K88" s="76" t="n">
        <x:v>77</x:v>
      </x:c>
      <x:c r="L88" s="70" t="inlineStr">
        <x:is>
          <x:t xml:space="preserve">media/other/18060744089391389.heic</x:t>
        </x:is>
      </x:c>
      <x:c r="M88" s="70" t="inlineStr">
        <x:is>
          <x:t xml:space="preserve">Construir com inteligência é o que move a Macto Engenharia (@mactoengenharia), nossa mais nova associada!
Especializada na administração de obras e com foco em soluções eficientes, a empresa atua em Rio Verde e entrega resultados sólidos e bem planejados.
É uma honra tê-los conosco na ACIRV. Juntos, vamos mais longe! 
#ACIRVassociados #MactoEngenharia #EngenhariaInteligente #RioVerde</x:t>
        </x:is>
      </x:c>
    </x:row>
    <x:row r="89" s="39" customFormat="1" ht="15" customHeight="1">
      <x:c r="A89" s="80" t="n">
        <x:v>45937</x:v>
      </x:c>
      <x:c r="B89" s="70" t="inlineStr">
        <x:is>
          <x:t xml:space="preserve">2025-10</x:t>
        </x:is>
      </x:c>
      <x:c r="C89" s="76" t="n">
        <x:v>3</x:v>
      </x:c>
      <x:c r="D89" s="76" t="n">
        <x:v>1584</x:v>
      </x:c>
      <x:c r="E89" s="76" t="n">
        <x:v>0</x:v>
      </x:c>
      <x:c r="F89" s="76" t="n">
        <x:v>1314</x:v>
      </x:c>
      <x:c r="G89" s="76" t="n">
        <x:v>0</x:v>
      </x:c>
      <x:c r="H89" s="76" t="n">
        <x:v>16</x:v>
      </x:c>
      <x:c r="I89" s="76" t="n">
        <x:v>3</x:v>
      </x:c>
      <x:c r="J89" s="76" t="n">
        <x:v>8</x:v>
      </x:c>
      <x:c r="K89" s="76" t="n">
        <x:v>27</x:v>
      </x:c>
      <x:c r="L89" s="70" t="n"/>
      <x:c r="M89" s="70" t="n"/>
    </x:row>
    <x:row r="90" s="39" customFormat="1" ht="154.8000030517578" customHeight="1">
      <x:c r="A90" s="80" t="n">
        <x:v>45936</x:v>
      </x:c>
      <x:c r="B90" s="70" t="inlineStr">
        <x:is>
          <x:t xml:space="preserve">2025-10</x:t>
        </x:is>
      </x:c>
      <x:c r="C90" s="76" t="n">
        <x:v>4</x:v>
      </x:c>
      <x:c r="D90" s="76" t="n">
        <x:v>619</x:v>
      </x:c>
      <x:c r="E90" s="76" t="n">
        <x:v>1</x:v>
      </x:c>
      <x:c r="F90" s="76" t="n">
        <x:v>552</x:v>
      </x:c>
      <x:c r="G90" s="76" t="n">
        <x:v>1</x:v>
      </x:c>
      <x:c r="H90" s="76" t="n">
        <x:v>17</x:v>
      </x:c>
      <x:c r="I90" s="76" t="n">
        <x:v>0</x:v>
      </x:c>
      <x:c r="J90" s="76" t="n">
        <x:v>3</x:v>
      </x:c>
      <x:c r="K90" s="76" t="n">
        <x:v>21</x:v>
      </x:c>
      <x:c r="L90" s="70" t="inlineStr">
        <x:is>
          <x:t xml:space="preserve">media/other/17936001386966228.heic</x:t>
        </x:is>
      </x:c>
      <x:c r="M90" s="70" t="inlineStr">
        <x:is>
          <x:t xml:space="preserve">Conectou, deu negócio!
Nas últimas duas edições do Conecta ACIRV, 98 empresários(as) participaram e movimentaram R$ 2.573.509,00 em negócios.
Isso é o resultado de conexões reais que geram crescimento para todos.
Quer fazer parte da 3ª edição? Então, entre no link, leia as instruções e preencha o formulário: https://forms.gle/43Jg1ZTgzfRX5JgY8. Vale reforçar que as vagas são limitadas. 
#ACIRVeventos #ConectaACIRV #NetworkingQueFunciona #RioVerde</x:t>
        </x:is>
      </x:c>
    </x:row>
    <x:row r="91" s="39" customFormat="1" ht="165.0500030517578" customHeight="1">
      <x:c r="A91" s="80" t="n">
        <x:v>45936</x:v>
      </x:c>
      <x:c r="B91" s="70" t="inlineStr">
        <x:is>
          <x:t xml:space="preserve">2025-10</x:t>
        </x:is>
      </x:c>
      <x:c r="C91" s="76" t="n">
        <x:v>7</x:v>
      </x:c>
      <x:c r="D91" s="76" t="n">
        <x:v>1448</x:v>
      </x:c>
      <x:c r="E91" s="76" t="n">
        <x:v>2</x:v>
      </x:c>
      <x:c r="F91" s="76" t="n">
        <x:v>1307</x:v>
      </x:c>
      <x:c r="G91" s="76" t="n">
        <x:v>0</x:v>
      </x:c>
      <x:c r="H91" s="76" t="n">
        <x:v>39</x:v>
      </x:c>
      <x:c r="I91" s="76" t="n">
        <x:v>8</x:v>
      </x:c>
      <x:c r="J91" s="76" t="n">
        <x:v>3</x:v>
      </x:c>
      <x:c r="K91" s="76" t="n">
        <x:v>50</x:v>
      </x:c>
      <x:c r="L91" s="70" t="inlineStr">
        <x:is>
          <x:t xml:space="preserve">media/other/18059643593628046.heic</x:t>
        </x:is>
      </x:c>
      <x:c r="M91" s="70" t="inlineStr">
        <x:is>
          <x:t xml:space="preserve">Seja bem-vinda, Fogo e Brasa Buffet!
Agora é oficial: a Fogo e Brasa Buffet (@fogoebrasa_buffet) é a mais nova associada da ACIRV!
Com atuação em Rio Verde e região, a empresa oferece buffet, churrasco e defumados, com o sabor que marca os melhores momentos da vida.
Estamos felizes em fortalecer ainda mais nossa rede com empreendedores que entregam excelência. 
Vamos juntos nessa! 
#ACIRVassociados #FogoEBrasaBuffet #SetorAlimentício #RioVerde</x:t>
        </x:is>
      </x:c>
    </x:row>
    <x:row r="92" s="39" customFormat="1" ht="257.20001220703125" customHeight="1">
      <x:c r="A92" s="80" t="n">
        <x:v>45933</x:v>
      </x:c>
      <x:c r="B92" s="70" t="inlineStr">
        <x:is>
          <x:t xml:space="preserve">2025-10</x:t>
        </x:is>
      </x:c>
      <x:c r="C92" s="76" t="n">
        <x:v>5</x:v>
      </x:c>
      <x:c r="D92" s="76" t="n">
        <x:v>696</x:v>
      </x:c>
      <x:c r="E92" s="76" t="n">
        <x:v>0</x:v>
      </x:c>
      <x:c r="F92" s="76" t="n">
        <x:v>625</x:v>
      </x:c>
      <x:c r="G92" s="76" t="n">
        <x:v>1</x:v>
      </x:c>
      <x:c r="H92" s="76" t="n">
        <x:v>30</x:v>
      </x:c>
      <x:c r="I92" s="76" t="n">
        <x:v>3</x:v>
      </x:c>
      <x:c r="J92" s="76" t="n">
        <x:v>5</x:v>
      </x:c>
      <x:c r="K92" s="76" t="n">
        <x:v>39</x:v>
      </x:c>
      <x:c r="L92" s="70" t="inlineStr">
        <x:is>
          <x:t xml:space="preserve">media/other/17924195556139020.heic</x:t>
        </x:is>
      </x:c>
      <x:c r="M92" s="70" t="inlineStr">
        <x:is>
          <x:t xml:space="preserve">Uma palestra imperdível no Conecta ACIRV!
Ela é referência quando o assunto é comunicação estratégica, pois possui anos de experiência no jornalismo e sólida formação acadêmica. 
Estamos falando da jornalista e doutora em Comunicação Wenya Alecrim! Sua presença está confirmada na terceira edição do Conecta ACIRV, com a palestra "Pitch de Sucesso".
Reconhecida em Rio Verde por sua credibilidade e capacidade de transformar ideias em impacto, Wenya vai compartilhar insights valiosos sobre como apresentar projetos e negócios de forma clara, envolvente e eficaz.
📅 Data: 09 de outubro, às 18h30
📍 Local: ACIRV (rua Dona Maricota, 199 - Setor Marconal) 
🎟️ Garanta sua vaga e prepare-se para transformar a maneira como você se comunica!
Efetue sua inscrição pelo link (https://forms.gle/43Jg1ZTgzfRX5JgY8) e compareça! 
#ACIRVeventos #ConectaACIRV #PalestraComunicação #RioVerde</x:t>
        </x:is>
      </x:c>
    </x:row>
    <x:row r="93" s="39" customFormat="1" ht="175.3000030517578" customHeight="1">
      <x:c r="A93" s="80" t="n">
        <x:v>45933</x:v>
      </x:c>
      <x:c r="B93" s="70" t="inlineStr">
        <x:is>
          <x:t xml:space="preserve">2025-10</x:t>
        </x:is>
      </x:c>
      <x:c r="C93" s="76" t="n">
        <x:v>1</x:v>
      </x:c>
      <x:c r="D93" s="76" t="n">
        <x:v>543</x:v>
      </x:c>
      <x:c r="E93" s="76" t="n">
        <x:v>0</x:v>
      </x:c>
      <x:c r="F93" s="76" t="n">
        <x:v>513</x:v>
      </x:c>
      <x:c r="G93" s="76" t="n">
        <x:v>1</x:v>
      </x:c>
      <x:c r="H93" s="76" t="n">
        <x:v>10</x:v>
      </x:c>
      <x:c r="I93" s="76" t="n">
        <x:v>1</x:v>
      </x:c>
      <x:c r="J93" s="76" t="n">
        <x:v>0</x:v>
      </x:c>
      <x:c r="K93" s="76" t="n">
        <x:v>12</x:v>
      </x:c>
      <x:c r="L93" s="70" t="inlineStr">
        <x:is>
          <x:t xml:space="preserve">media/other/18098719291638829.heic</x:t>
        </x:is>
      </x:c>
      <x:c r="M93" s="70" t="inlineStr">
        <x:is>
          <x:t xml:space="preserve">Hoje é dia de celebrar mais uma parceria de valor!
Com muita alegria, recebemos na família ACIRV a Medeiros e Aniceto Assessoria (@medeiroseaniceto), uma empresa que acredita no poder do conhecimento, da estratégia e da confiança para impulsionar negócios.
Atuando na área de assessoria empresarial, voltada ao setor de Saúde, a Medeiros e Aniceto oferece suporte completo a gestores e empreendedores que desejam crescer com segurança e visão de futuro.
Sejam muito bem-vindos! Que essa parceria renda frutos e conquistas.
#ACIRVassociados #MedeirosEAnicetoAssessoria #SetorDeSaúde #RioVerde</x:t>
        </x:is>
      </x:c>
    </x:row>
    <x:row r="94" s="39" customFormat="1" ht="206" customHeight="1">
      <x:c r="A94" s="80" t="n">
        <x:v>45932</x:v>
      </x:c>
      <x:c r="B94" s="70" t="inlineStr">
        <x:is>
          <x:t xml:space="preserve">2025-10</x:t>
        </x:is>
      </x:c>
      <x:c r="C94" s="76" t="n">
        <x:v>3</x:v>
      </x:c>
      <x:c r="D94" s="76" t="n">
        <x:v>654</x:v>
      </x:c>
      <x:c r="E94" s="76" t="n">
        <x:v>0</x:v>
      </x:c>
      <x:c r="F94" s="76" t="n">
        <x:v>600</x:v>
      </x:c>
      <x:c r="G94" s="76" t="n">
        <x:v>2</x:v>
      </x:c>
      <x:c r="H94" s="76" t="n">
        <x:v>30</x:v>
      </x:c>
      <x:c r="I94" s="76" t="n">
        <x:v>0</x:v>
      </x:c>
      <x:c r="J94" s="76" t="n">
        <x:v>2</x:v>
      </x:c>
      <x:c r="K94" s="76" t="n">
        <x:v>34</x:v>
      </x:c>
      <x:c r="L94" s="70" t="inlineStr">
        <x:is>
          <x:t xml:space="preserve">media/other/18084396712938709.heic</x:t>
        </x:is>
      </x:c>
      <x:c r="M94" s="70" t="inlineStr">
        <x:is>
          <x:t xml:space="preserve">Seja bem-vinda, Oeste Luz Energia!
É com grande satisfação que a ACIRV recebe mais uma empresa que vem fazendo a diferença no setor de energia solar em Goiás. A Oeste Luz (@oesteluzenergia) chega como nova associada, trazendo sua expertise e compromisso com a sustentabilidade e o desenvolvimento regional.
A empresa conta com 13 anos de atuação e já atendeu mais de 800 clientes, levando energia limpa e acessível a propriedades urbanas e rurais por todo o estado. Seu trabalho vai além da geração solar, pois a Oeste Luz também atua com projetos de infraestrutura para redes de distribuição elétrica, ampliando o acesso à energia de qualidade para todos.
Que essa parceria traga ainda mais força para o crescimento do nosso comércio, indústria e setor de serviços!
#ACIRVassociados #OesteLuzEnergia #Sustentabilidade #EnergiaSolar #RioVerde</x:t>
        </x:is>
      </x:c>
    </x:row>
    <x:row r="95" s="39" customFormat="1" ht="144.5500030517578" customHeight="1">
      <x:c r="A95" s="80" t="n">
        <x:v>45931</x:v>
      </x:c>
      <x:c r="B95" s="70" t="inlineStr">
        <x:is>
          <x:t xml:space="preserve">2025-10</x:t>
        </x:is>
      </x:c>
      <x:c r="C95" s="76" t="n">
        <x:v>3</x:v>
      </x:c>
      <x:c r="D95" s="76" t="n">
        <x:v>735</x:v>
      </x:c>
      <x:c r="E95" s="76" t="n">
        <x:v>0</x:v>
      </x:c>
      <x:c r="F95" s="76" t="n">
        <x:v>679</x:v>
      </x:c>
      <x:c r="G95" s="76" t="n">
        <x:v>0</x:v>
      </x:c>
      <x:c r="H95" s="76" t="n">
        <x:v>25</x:v>
      </x:c>
      <x:c r="I95" s="76" t="n">
        <x:v>0</x:v>
      </x:c>
      <x:c r="J95" s="76" t="n">
        <x:v>0</x:v>
      </x:c>
      <x:c r="K95" s="76" t="n">
        <x:v>25</x:v>
      </x:c>
      <x:c r="L95" s="70" t="inlineStr">
        <x:is>
          <x:t xml:space="preserve">media/other/18049118963330334.heic</x:t>
        </x:is>
      </x:c>
      <x:c r="M95" s="70" t="inlineStr">
        <x:is>
          <x:t xml:space="preserve">Seja bem-vinda, Riovertech Engenharia!
Temos a alegria de receber a Riovertech Engenharia (@riovertech) como nova associada da ACIRV!
Especializada em soluções personalizadas em energia solar, a empresa contribui com inovação e sustentabilidade para a região, desenvolvendo projetos que aliam eficiência energética e economia para residências, empresas e propriedades rurais.
É um prazer contar com parceiros que compartilham da nossa visão de desenvolvimento responsável e tecnológico.
#ACIRVassociados #Riovertech #EnergiaSolar #RioVerde</x:t>
        </x:is>
      </x:c>
    </x:row>
    <x:row r="96" s="39" customFormat="1" ht="134.3000030517578" customHeight="1">
      <x:c r="A96" s="80" t="n">
        <x:v>45931</x:v>
      </x:c>
      <x:c r="B96" s="70" t="inlineStr">
        <x:is>
          <x:t xml:space="preserve">2025-10</x:t>
        </x:is>
      </x:c>
      <x:c r="C96" s="76" t="n">
        <x:v>1</x:v>
      </x:c>
      <x:c r="D96" s="76" t="n">
        <x:v>243</x:v>
      </x:c>
      <x:c r="E96" s="76" t="n">
        <x:v>0</x:v>
      </x:c>
      <x:c r="F96" s="76" t="n">
        <x:v>223</x:v>
      </x:c>
      <x:c r="G96" s="76" t="n">
        <x:v>0</x:v>
      </x:c>
      <x:c r="H96" s="76" t="n">
        <x:v>9</x:v>
      </x:c>
      <x:c r="I96" s="76" t="n">
        <x:v>0</x:v>
      </x:c>
      <x:c r="J96" s="76" t="n">
        <x:v>1</x:v>
      </x:c>
      <x:c r="K96" s="76" t="n">
        <x:v>10</x:v>
      </x:c>
      <x:c r="L96" s="70" t="inlineStr">
        <x:is>
          <x:t xml:space="preserve">media/other/18421226836129837.heic</x:t>
        </x:is>
      </x:c>
      <x:c r="M96" s="70" t="inlineStr">
        <x:is>
          <x:t xml:space="preserve">Outubro Rosa é mais que uma cor. É um movimento de conscientização, cuidado e apoio à vida.
A ACIRV apoia essa causa tão importante, incentivando a prevenção e o diagnóstico precoce do câncer de mama.
Cuide-se. Faça os exames. Converse com quem você ama sobre isso.
💗 Juntos, somos mais fortes na luta pela saúde da mulher.
#ACIRVapoia #OutubroRosa #PrevençãoSalvaVidas #SaúdeDaMulher #RioVerde</x:t>
        </x:is>
      </x:c>
    </x:row>
    <x:row r="97" s="39" customFormat="1" ht="195.75" customHeight="1">
      <x:c r="A97" s="80" t="n">
        <x:v>45930</x:v>
      </x:c>
      <x:c r="B97" s="70" t="inlineStr">
        <x:is>
          <x:t xml:space="preserve">2025-09</x:t>
        </x:is>
      </x:c>
      <x:c r="C97" s="76" t="n">
        <x:v>2</x:v>
      </x:c>
      <x:c r="D97" s="76" t="n">
        <x:v>723</x:v>
      </x:c>
      <x:c r="E97" s="76" t="n">
        <x:v>3</x:v>
      </x:c>
      <x:c r="F97" s="76" t="n">
        <x:v>620</x:v>
      </x:c>
      <x:c r="G97" s="76" t="n">
        <x:v>1</x:v>
      </x:c>
      <x:c r="H97" s="76" t="n">
        <x:v>34</x:v>
      </x:c>
      <x:c r="I97" s="76" t="n">
        <x:v>4</x:v>
      </x:c>
      <x:c r="J97" s="76" t="n">
        <x:v>3</x:v>
      </x:c>
      <x:c r="K97" s="76" t="n">
        <x:v>42</x:v>
      </x:c>
      <x:c r="L97" s="70" t="inlineStr">
        <x:is>
          <x:t xml:space="preserve">media/other/17980936313869820.heic</x:t>
        </x:is>
      </x:c>
      <x:c r="M97" s="70" t="inlineStr">
        <x:is>
          <x:t xml:space="preserve">Seja bem-vinda, Alovisi Tapetes, à família ACIRV!
Com um portfólio que vai muito além dos tapetes tradicionais, a Alovisi (@alovisitapetes) oferece soluções completas em revestimentos para diferentes ambientes, sempre com qualidade e atendimento personalizado. 
A loja comercializa tapetes sob medida; grama sintética decorativa; pisos modernos e funcionais, unindo itens de conforto, beleza e praticidade. Além da venda, a Alovisi também cuida do pós-venda, garantindo confiança e satisfação aos seus clientes.
É com alegria que recebemos mais uma empresa comprometida com o bem-estar e a sofisticação dos lares e espaços comerciais de Rio Verde e região.
#ACIRVassociados #AlovisiTapetes #EmpreendedorismoLocal #RioVerde</x:t>
        </x:is>
      </x:c>
    </x:row>
    <x:row r="98" s="39" customFormat="1" ht="195.75" customHeight="1">
      <x:c r="A98" s="80" t="n">
        <x:v>45929</x:v>
      </x:c>
      <x:c r="B98" s="70" t="inlineStr">
        <x:is>
          <x:t xml:space="preserve">2025-09</x:t>
        </x:is>
      </x:c>
      <x:c r="C98" s="76" t="n">
        <x:v>5</x:v>
      </x:c>
      <x:c r="D98" s="76" t="n">
        <x:v>2992</x:v>
      </x:c>
      <x:c r="E98" s="76" t="n">
        <x:v>0</x:v>
      </x:c>
      <x:c r="F98" s="76" t="n">
        <x:v>2514</x:v>
      </x:c>
      <x:c r="G98" s="76" t="n">
        <x:v>0</x:v>
      </x:c>
      <x:c r="H98" s="76" t="n">
        <x:v>62</x:v>
      </x:c>
      <x:c r="I98" s="76" t="n">
        <x:v>2</x:v>
      </x:c>
      <x:c r="J98" s="76" t="n">
        <x:v>4</x:v>
      </x:c>
      <x:c r="K98" s="76" t="n">
        <x:v>68</x:v>
      </x:c>
      <x:c r="L98" s="70" t="inlineStr">
        <x:is>
          <x:t xml:space="preserve">media/other/18060838871118102.heic</x:t>
        </x:is>
      </x:c>
      <x:c r="M98" s="70" t="inlineStr">
        <x:is>
          <x:t xml:space="preserve">Temos o prazer de anunciar mais um associado à ACIRV: a Ecoville Rio Verde (@ecoville.rioverdecentro), empresa que vem se destacando no segmento de produtos de limpeza de alta performance, com soluções voltadas tanto para o uso doméstico quanto profissional. 
Segundo o empresário @wafurquim, responsável pela unidade em Rio Verde, a filiação representa crescimento. "A expectativa com a associação à ACIRV é conquistar ainda mais credibilidade e fortalecimento do nosso negócio. Acreditamos que, com o apoio da entidade, podemos crescer de forma estruturada e contribuir também com o desenvolvimento da nossa comunidade", relatou. 
Estamos felizes em fazer parte da sua jornada, Washington e equipe! Que essa parceria traga muitos frutos e oportunidades. 
#ACIRVassociados #EcovilleRioVerde #Empreendedorismo #ProdutosDeLimpeza #RioVerde</x:t>
        </x:is>
      </x:c>
    </x:row>
    <x:row r="99" s="39" customFormat="1" ht="267.45001220703125" customHeight="1">
      <x:c r="A99" s="80" t="n">
        <x:v>45929</x:v>
      </x:c>
      <x:c r="B99" s="70" t="inlineStr">
        <x:is>
          <x:t xml:space="preserve">2025-09</x:t>
        </x:is>
      </x:c>
      <x:c r="C99" s="76" t="n">
        <x:v>3</x:v>
      </x:c>
      <x:c r="D99" s="76" t="n">
        <x:v>1405</x:v>
      </x:c>
      <x:c r="E99" s="76" t="n">
        <x:v>3</x:v>
      </x:c>
      <x:c r="F99" s="76" t="n">
        <x:v>1198</x:v>
      </x:c>
      <x:c r="G99" s="76" t="n">
        <x:v>1</x:v>
      </x:c>
      <x:c r="H99" s="76" t="n">
        <x:v>32</x:v>
      </x:c>
      <x:c r="I99" s="76" t="n">
        <x:v>9</x:v>
      </x:c>
      <x:c r="J99" s="76" t="n">
        <x:v>13</x:v>
      </x:c>
      <x:c r="K99" s="76" t="n">
        <x:v>55</x:v>
      </x:c>
      <x:c r="L99" s="70" t="inlineStr">
        <x:is>
          <x:t xml:space="preserve">media/other/18208699351309430.heic</x:t>
        </x:is>
      </x:c>
      <x:c r="M99" s="70" t="inlineStr">
        <x:is>
          <x:t xml:space="preserve">Você conhece os impactos da NR 01 na saúde mental no trabalho?
As mudanças na NR 01 exigem uma nova postura das empresas frente aos riscos psicossociais. Mas como aplicar isso no dia a dia da gestão de pessoas?
Neste encontro, três especialistas vão esclarecer o assunto e trazer orientações práticas para proteger sua equipe e o seu negócio:
📌 Denner Clemente – Especialista em Direito do Trabalho;
📌 Jackcely Gouveia – Psicóloga com foco em Gestão Organizacional;
📌 Dr. Silvio Soares Privado – Médico do Trabalho. 
📆 Data: 03 de outubro
⏰ Horário: 7h30
📍 Local: Auditório ACIRV – Rua Dona Maricota, 199 - Setor Marconal 
Evento gratuito e essencial para líderes, RHs e gestores(as). Mas para participar é necessário realizar a inscrição pelo link: https://doity.com.br/nr-01-e-os-riscos-psicossociais. 
#ACIRVeventos #NR01 #EventoParaLíderes #RioVerde</x:t>
        </x:is>
      </x:c>
    </x:row>
    <x:row r="100" s="39" customFormat="1" ht="195.75" customHeight="1">
      <x:c r="A100" s="80" t="n">
        <x:v>45926</x:v>
      </x:c>
      <x:c r="B100" s="70" t="inlineStr">
        <x:is>
          <x:t xml:space="preserve">2025-09</x:t>
        </x:is>
      </x:c>
      <x:c r="C100" s="76" t="n">
        <x:v>1</x:v>
      </x:c>
      <x:c r="D100" s="76" t="n">
        <x:v>689</x:v>
      </x:c>
      <x:c r="E100" s="76" t="n">
        <x:v>0</x:v>
      </x:c>
      <x:c r="F100" s="76" t="n">
        <x:v>640</x:v>
      </x:c>
      <x:c r="G100" s="76" t="n">
        <x:v>0</x:v>
      </x:c>
      <x:c r="H100" s="76" t="n">
        <x:v>22</x:v>
      </x:c>
      <x:c r="I100" s="76" t="n">
        <x:v>2</x:v>
      </x:c>
      <x:c r="J100" s="76" t="n">
        <x:v>1</x:v>
      </x:c>
      <x:c r="K100" s="76" t="n">
        <x:v>25</x:v>
      </x:c>
      <x:c r="L100" s="70" t="inlineStr">
        <x:is>
          <x:t xml:space="preserve">media/other/18091054441811923.heic</x:t>
        </x:is>
      </x:c>
      <x:c r="M100" s="70" t="inlineStr">
        <x:is>
          <x:t xml:space="preserve">Seja bem-vinda, Baterias Luxfor! 
Temos o prazer de anunciar a chegada da Baterias Luxfor (@bateriasluxfor.ltda) como mais nova empresa associada! 
A Baterias Luxfor atua no comércio varejista de peças e acessórios novos para veículos automotores, oferecendo qualidade, confiança e soluções ideais para quem busca o melhor desempenho para o seu veículo. 
É uma grande satisfação contar com a parceria de empresas que fortalecem o setor automotivo e contribuem para o desenvolvimento econômico da nossa região. 
Desejamos muito sucesso e que essa parceria traga grandes resultados! 
#ACIRVNovoAssociado #BateriasLuxfor #SetorAutomotivo #RioVerde</x:t>
        </x:is>
      </x:c>
    </x:row>
    <x:row r="101" s="39" customFormat="1" ht="113.8499984741211" customHeight="1">
      <x:c r="A101" s="80" t="n">
        <x:v>45926</x:v>
      </x:c>
      <x:c r="B101" s="70" t="inlineStr">
        <x:is>
          <x:t xml:space="preserve">2025-09</x:t>
        </x:is>
      </x:c>
      <x:c r="C101" s="76" t="n">
        <x:v>11</x:v>
      </x:c>
      <x:c r="D101" s="76" t="n">
        <x:v>741</x:v>
      </x:c>
      <x:c r="E101" s="76" t="n">
        <x:v>0</x:v>
      </x:c>
      <x:c r="F101" s="76" t="n">
        <x:v>693</x:v>
      </x:c>
      <x:c r="G101" s="76" t="n">
        <x:v>0</x:v>
      </x:c>
      <x:c r="H101" s="76" t="n">
        <x:v>28</x:v>
      </x:c>
      <x:c r="I101" s="76" t="n">
        <x:v>0</x:v>
      </x:c>
      <x:c r="J101" s="76" t="n">
        <x:v>1</x:v>
      </x:c>
      <x:c r="K101" s="76" t="n">
        <x:v>29</x:v>
      </x:c>
      <x:c r="L101" s="70" t="inlineStr">
        <x:is>
          <x:t xml:space="preserve">media/other/18333483742224523.heic</x:t>
        </x:is>
      </x:c>
      <x:c r="M101" s="70" t="inlineStr">
        <x:is>
          <x:t xml:space="preserve">Na última quarta-feira, a ACIRV esteve em visita à Federação das Associações Comerciais e Empresariais de Goiás (Facieg). 
Durante o encontro, a diretoria dialogou com o presidente Márcio Luís sobre os desafios e conquistas do movimento associativista e reforçou a importância da parceria com a Facieg para o fortalecimento das entidades e alinhamento de ações em prol do desenvolvimento empresarial.
#ACIRVparcerias #ACIRVeFacieg #VisitaInstitucional #SudoesteGoiano</x:t>
        </x:is>
      </x:c>
    </x:row>
    <x:row r="102" s="39" customFormat="1" ht="216.25" customHeight="1">
      <x:c r="A102" s="80" t="n">
        <x:v>45925</x:v>
      </x:c>
      <x:c r="B102" s="70" t="inlineStr">
        <x:is>
          <x:t xml:space="preserve">2025-09</x:t>
        </x:is>
      </x:c>
      <x:c r="C102" s="76" t="n">
        <x:v>4</x:v>
      </x:c>
      <x:c r="D102" s="76" t="n">
        <x:v>1022</x:v>
      </x:c>
      <x:c r="E102" s="76" t="n">
        <x:v>1</x:v>
      </x:c>
      <x:c r="F102" s="76" t="n">
        <x:v>840</x:v>
      </x:c>
      <x:c r="G102" s="76" t="n">
        <x:v>0</x:v>
      </x:c>
      <x:c r="H102" s="76" t="n">
        <x:v>37</x:v>
      </x:c>
      <x:c r="I102" s="76" t="n">
        <x:v>4</x:v>
      </x:c>
      <x:c r="J102" s="76" t="n">
        <x:v>2</x:v>
      </x:c>
      <x:c r="K102" s="76" t="n">
        <x:v>43</x:v>
      </x:c>
      <x:c r="L102" s="70" t="inlineStr">
        <x:is>
          <x:t xml:space="preserve">media/other/17979792275871665.heic</x:t>
        </x:is>
      </x:c>
      <x:c r="M102" s="70" t="inlineStr">
        <x:is>
          <x:t xml:space="preserve">Nova empresa associada da ACIRV! 
É com grande satisfação que damos as boas-vindas à CA Engenharia (@ca.rv.engenharia) como nova empresa associada da ACIRV! 
Com 3 anos de atuação no mercado, a CA Engenharia se destaca por oferecer soluções completas em engenharia civil, regularização de empresas e laudos técnicos, sempre prezando pela excelência, agilidade e compromisso com o cliente. 
A empresa é liderada pelo engenheiro civil @engenheiro_cezar, profissional experiente e dedicado, que vem contribuindo para o desenvolvimento e a segurança de obras e empreendimentos em nossa região. 
Cezar, seja bem-vindo à ACIRV! 
#ACIRVNovoAssociado #CAEngenharia #EngenhariaCivil #DesenvolvimentoRegional #RioVerde</x:t>
        </x:is>
      </x:c>
    </x:row>
    <x:row r="103" s="39" customFormat="1" ht="185.5" customHeight="1">
      <x:c r="A103" s="80" t="n">
        <x:v>45924</x:v>
      </x:c>
      <x:c r="B103" s="70" t="inlineStr">
        <x:is>
          <x:t xml:space="preserve">2025-09</x:t>
        </x:is>
      </x:c>
      <x:c r="C103" s="76" t="n">
        <x:v>1</x:v>
      </x:c>
      <x:c r="D103" s="76" t="n">
        <x:v>494</x:v>
      </x:c>
      <x:c r="E103" s="76" t="n">
        <x:v>0</x:v>
      </x:c>
      <x:c r="F103" s="76" t="n">
        <x:v>464</x:v>
      </x:c>
      <x:c r="G103" s="76" t="n">
        <x:v>0</x:v>
      </x:c>
      <x:c r="H103" s="76" t="n">
        <x:v>15</x:v>
      </x:c>
      <x:c r="I103" s="76" t="n">
        <x:v>1</x:v>
      </x:c>
      <x:c r="J103" s="76" t="n">
        <x:v>0</x:v>
      </x:c>
      <x:c r="K103" s="76" t="n">
        <x:v>16</x:v>
      </x:c>
      <x:c r="L103" s="70" t="inlineStr">
        <x:is>
          <x:t xml:space="preserve">media/other/18088788622848130.heic</x:t>
        </x:is>
      </x:c>
      <x:c r="M103" s="70" t="inlineStr">
        <x:is>
          <x:t xml:space="preserve">Bem-vinda, Renováveis Serviços!  
É com grande satisfação que anunciamos a chegada da Renováveis Serviços (@renovaveisservicos) como mais um associado à nossa rede! 
A empresa atua com excelência na instalação e manutenção de sistemas centrais de ar-condicionado, ventilação e refrigeração, oferecendo soluções eficientes e sustentáveis para conforto térmico em diversos ambientes. 
Com uma equipe qualificada e compromisso com a qualidade, a Renováveis Serviços reforça nosso ecossistema de empresas que prezam pela inovação e pelo profissionalismo no setor.
Seja muito bem-vinda! Estamos felizes em tê-los conosco! 
#ACIRVNovosAssociados #RenováveisServiços #SoluçõesTérmicas #RioVerde</x:t>
        </x:is>
      </x:c>
    </x:row>
    <x:row r="104" s="39" customFormat="1" ht="287.95001220703125" customHeight="1">
      <x:c r="A104" s="80" t="n">
        <x:v>45923</x:v>
      </x:c>
      <x:c r="B104" s="70" t="inlineStr">
        <x:is>
          <x:t xml:space="preserve">2025-09</x:t>
        </x:is>
      </x:c>
      <x:c r="C104" s="76" t="n">
        <x:v>2</x:v>
      </x:c>
      <x:c r="D104" s="76" t="n">
        <x:v>1628</x:v>
      </x:c>
      <x:c r="E104" s="76" t="n">
        <x:v>1</x:v>
      </x:c>
      <x:c r="F104" s="76" t="n">
        <x:v>1398</x:v>
      </x:c>
      <x:c r="G104" s="76" t="n">
        <x:v>0</x:v>
      </x:c>
      <x:c r="H104" s="76" t="n">
        <x:v>13</x:v>
      </x:c>
      <x:c r="I104" s="76" t="n">
        <x:v>0</x:v>
      </x:c>
      <x:c r="J104" s="76" t="n">
        <x:v>11</x:v>
      </x:c>
      <x:c r="K104" s="76" t="n">
        <x:v>24</x:v>
      </x:c>
      <x:c r="L104" s="70" t="inlineStr">
        <x:is>
          <x:t xml:space="preserve">media/other/18115273858516182.heic</x:t>
        </x:is>
      </x:c>
      <x:c r="M104" s="70" t="inlineStr">
        <x:is>
          <x:t xml:space="preserve">🔊 Atenção, profissionais e lideranças rioverdenses da área de Saúde!
Nos dias 26 e 27 de setembro, o Núcleo Setorial de Saúde da ACIRV promove um encontro essencial para o futuro do setor em Rio Verde: a Oficina de Planejamento Estratégico. 
👥 Na sexta (26), uma roda de conversa com instituições e entidades vai traçar o panorama atual da saúde - com foco nos desafios e nas oportunidades que temos pela frente.
🧭 No sábado (27), vamos transformar diálogo em direção: é hora de construir juntos o plano estratégico do Núcleo, definindo prioridades e ações concretas.
⚙️ Participar é contribuir para um setor mais forte, articulado e preparado!
O evento é gratuito, mas para participar, realize sua inscrição no link: 
https://shre.ink/oficinadeplanejamentoestrategicoacirv.
Queremos te ouvir: compareça, profissional da Saúde de Rio Verde e traga suas ideias! 
#ACIRVeventos #NúcleoDeSaúde #OficinaDePlanejamentoEstratégico #SetorDeSaúde #ProfissionaisDeSaúde #RioVerde</x:t>
        </x:is>
      </x:c>
    </x:row>
    <x:row r="105" s="39" customFormat="1" ht="175.3000030517578" customHeight="1">
      <x:c r="A105" s="80" t="n">
        <x:v>45923</x:v>
      </x:c>
      <x:c r="B105" s="70" t="inlineStr">
        <x:is>
          <x:t xml:space="preserve">2025-09</x:t>
        </x:is>
      </x:c>
      <x:c r="C105" s="76" t="n">
        <x:v>7</x:v>
      </x:c>
      <x:c r="D105" s="76" t="n">
        <x:v>624</x:v>
      </x:c>
      <x:c r="E105" s="76" t="n">
        <x:v>0</x:v>
      </x:c>
      <x:c r="F105" s="76" t="n">
        <x:v>583</x:v>
      </x:c>
      <x:c r="G105" s="76" t="n">
        <x:v>0</x:v>
      </x:c>
      <x:c r="H105" s="76" t="n">
        <x:v>38</x:v>
      </x:c>
      <x:c r="I105" s="76" t="n">
        <x:v>2</x:v>
      </x:c>
      <x:c r="J105" s="76" t="n">
        <x:v>0</x:v>
      </x:c>
      <x:c r="K105" s="76" t="n">
        <x:v>40</x:v>
      </x:c>
      <x:c r="L105" s="70" t="inlineStr">
        <x:is>
          <x:t xml:space="preserve">media/other/18361650307156543.heic</x:t>
        </x:is>
      </x:c>
      <x:c r="M105" s="70" t="inlineStr">
        <x:is>
          <x:t xml:space="preserve">Nova Associada ACIRV! 
Temos o prazer de anunciar que a MyShop Rio Verde (@myshop.rioverde) agora faz parte da nossa rede de associados! 
Especializada no comércio varejista de eletrodomésticos e equipamentos de áudio e vídeo, a MyShop se destaca por oferecer produtos de qualidade, atendimento diferenciado e soluções modernas para o dia a dia dos seus clientes. 
Seja bem-vinda à ACIRV, MyShop Rio Verde! Juntos, fortalecemos o comércio local e impulsionamos o desenvolvimento de nossa cidade. 
#ACIRVNovoAssociado #MyShopRioVerde #ComércioVarejista #Eletrodoméstico #RioVerde</x:t>
        </x:is>
      </x:c>
    </x:row>
    <x:row r="106" s="39" customFormat="1" ht="246.9499969482422" customHeight="1">
      <x:c r="A106" s="80" t="n">
        <x:v>45922</x:v>
      </x:c>
      <x:c r="B106" s="70" t="inlineStr">
        <x:is>
          <x:t xml:space="preserve">2025-09</x:t>
        </x:is>
      </x:c>
      <x:c r="C106" s="76" t="n">
        <x:v>1</x:v>
      </x:c>
      <x:c r="D106" s="76" t="n">
        <x:v>2394</x:v>
      </x:c>
      <x:c r="E106" s="76" t="n">
        <x:v>1</x:v>
      </x:c>
      <x:c r="F106" s="76" t="n">
        <x:v>1943</x:v>
      </x:c>
      <x:c r="G106" s="76" t="n">
        <x:v>0</x:v>
      </x:c>
      <x:c r="H106" s="76" t="n">
        <x:v>56</x:v>
      </x:c>
      <x:c r="I106" s="76" t="n">
        <x:v>9</x:v>
      </x:c>
      <x:c r="J106" s="76" t="n">
        <x:v>19</x:v>
      </x:c>
      <x:c r="K106" s="76" t="n">
        <x:v>84</x:v>
      </x:c>
      <x:c r="L106" s="70" t="inlineStr">
        <x:is>
          <x:t xml:space="preserve">media/other/18050296673311917.heic</x:t>
        </x:is>
      </x:c>
      <x:c r="M106" s="70" t="inlineStr">
        <x:is>
          <x:t xml:space="preserve">🌼 Setembro Amarelo é um convite à reflexão sobre a vida, o cuidado com o outro e, principalmente, o autocuidado.
✨ Pensando nisso, a ACIRV convida você para a palestra: "Qualidade de Vida – Escolhas que Transformam".
📅 Data: 25 de setembro
🕖 Horário: 19h
📍 Local: ACIRV
Vamos conversar sobre saúde mental, bem-estar e atitudes que fazem a diferença no dia a dia. Uma palestra transformadora, voltada para quem busca mais equilíbrio, propósito e qualidade de vida.
✅ Evento gratuito;
✅ Aberto ao público;
✅ Participe e traga quem você ama!
Ficou interessado(a)? Basta se inscrever no link: https://shre.ink/palestrasetembroamareloacirv. 
#ACIRVeventos #SetembroAmarelo #SaúdeMentalImporta #QualidadeDeVida #EscolhasQueTransformam #PalestraACIRV</x:t>
        </x:is>
      </x:c>
    </x:row>
    <x:row r="107" s="39" customFormat="1" ht="185.5" customHeight="1">
      <x:c r="A107" s="80" t="n">
        <x:v>45922</x:v>
      </x:c>
      <x:c r="B107" s="70" t="inlineStr">
        <x:is>
          <x:t xml:space="preserve">2025-09</x:t>
        </x:is>
      </x:c>
      <x:c r="C107" s="76" t="n">
        <x:v>10</x:v>
      </x:c>
      <x:c r="D107" s="76" t="n">
        <x:v>3198</x:v>
      </x:c>
      <x:c r="E107" s="76" t="n">
        <x:v>4</x:v>
      </x:c>
      <x:c r="F107" s="76" t="n">
        <x:v>2933</x:v>
      </x:c>
      <x:c r="G107" s="76" t="n">
        <x:v>2</x:v>
      </x:c>
      <x:c r="H107" s="76" t="n">
        <x:v>75</x:v>
      </x:c>
      <x:c r="I107" s="76" t="n">
        <x:v>3</x:v>
      </x:c>
      <x:c r="J107" s="76" t="n">
        <x:v>3</x:v>
      </x:c>
      <x:c r="K107" s="76" t="n">
        <x:v>83</x:v>
      </x:c>
      <x:c r="L107" s="70" t="inlineStr">
        <x:is>
          <x:t xml:space="preserve">media/other/18091200856776164.heic</x:t>
        </x:is>
      </x:c>
      <x:c r="M107" s="70" t="inlineStr">
        <x:is>
          <x:t xml:space="preserve">Mais um associado chegando para fortalecer o comércio local!
É com muita satisfação que a ACIRV dá as boas-vindas à Point dos Pastéis (@pointfoodcity), nova associada da nossa entidade!
A lanchonete, que passou por uma reinauguração no ano passado, vem conquistando o público com um cardápio variado e saboroso, reunindo opções como lanches, pastéis, crepes, açaí, casquinhas e muito mais! Um verdadeiro point para quem busca sabor e praticidade no dia a dia. 
Seja bem-vinda à nossa rede de associados, Point dos Pastéis! 
Juntos, seguimos promovendo o desenvolvimento e a valorização do nosso comércio.
#ACIRVAssociados #PointPastel #ComércioLocal #Lanches #RioVerde</x:t>
        </x:is>
      </x:c>
    </x:row>
    <x:row r="108" s="39" customFormat="1" ht="144.5500030517578" customHeight="1">
      <x:c r="A108" s="80" t="n">
        <x:v>45922</x:v>
      </x:c>
      <x:c r="B108" s="70" t="inlineStr">
        <x:is>
          <x:t xml:space="preserve">2025-09</x:t>
        </x:is>
      </x:c>
      <x:c r="C108" s="76" t="n">
        <x:v>0</x:v>
      </x:c>
      <x:c r="D108" s="76" t="n">
        <x:v>172</x:v>
      </x:c>
      <x:c r="E108" s="76" t="n">
        <x:v>0</x:v>
      </x:c>
      <x:c r="F108" s="76" t="n">
        <x:v>161</x:v>
      </x:c>
      <x:c r="G108" s="76" t="n">
        <x:v>0</x:v>
      </x:c>
      <x:c r="H108" s="76" t="n">
        <x:v>6</x:v>
      </x:c>
      <x:c r="I108" s="76" t="n">
        <x:v>0</x:v>
      </x:c>
      <x:c r="J108" s="76" t="n">
        <x:v>0</x:v>
      </x:c>
      <x:c r="K108" s="76" t="n">
        <x:v>6</x:v>
      </x:c>
      <x:c r="L108" s="70" t="inlineStr">
        <x:is>
          <x:t xml:space="preserve">media/other/17884296426372811.heic</x:t>
        </x:is>
      </x:c>
      <x:c r="M108" s="70" t="inlineStr">
        <x:is>
          <x:t xml:space="preserve">✨ Por trás de toda grande empresa, há um contador comprometido.
Neste 22 de setembro, a ACIRV reafirma seu apoio e admiração por todos os profissionais da contabilidade.
Vocês ajudam a transformar desafios em resultados e dados em decisões.
💙 Parabéns pelo seu dia. A ACIRV segue ao lado de vocês, apoiando, valorizando e reconhecendo seu papel fundamental!
#ACIRVhomenageia #DiaDoContador #ContadoresQueTransformam</x:t>
        </x:is>
      </x:c>
    </x:row>
    <x:row r="109" s="39" customFormat="1" ht="165.0500030517578" customHeight="1">
      <x:c r="A109" s="80" t="n">
        <x:v>45919</x:v>
      </x:c>
      <x:c r="B109" s="70" t="inlineStr">
        <x:is>
          <x:t xml:space="preserve">2025-09</x:t>
        </x:is>
      </x:c>
      <x:c r="C109" s="76" t="n">
        <x:v>1</x:v>
      </x:c>
      <x:c r="D109" s="76" t="n">
        <x:v>488</x:v>
      </x:c>
      <x:c r="E109" s="76" t="n">
        <x:v>0</x:v>
      </x:c>
      <x:c r="F109" s="76" t="n">
        <x:v>391</x:v>
      </x:c>
      <x:c r="G109" s="76" t="n">
        <x:v>0</x:v>
      </x:c>
      <x:c r="H109" s="76" t="n">
        <x:v>6</x:v>
      </x:c>
      <x:c r="I109" s="76" t="n">
        <x:v>0</x:v>
      </x:c>
      <x:c r="J109" s="76" t="n">
        <x:v>0</x:v>
      </x:c>
      <x:c r="K109" s="76" t="n">
        <x:v>6</x:v>
      </x:c>
      <x:c r="L109" s="70" t="inlineStr">
        <x:is>
          <x:t xml:space="preserve">media/other/18368412070144703.heic</x:t>
        </x:is>
      </x:c>
      <x:c r="M109" s="70" t="inlineStr">
        <x:is>
          <x:t xml:space="preserve">Neste Mês do Consumidor, a ACIRV traz uma super vantagem pra você:
🔐 Descontos especiais no serviço de Certificação Digital!
✔ Atendimento de qualidade;
✔ Preço acessível;
✔ Válido para associados e não associados.
Não perca essa oportunidade de garantir o seu certificado com mais economia e toda a segurança que você precisa.
📍 Entre em contato e agende já: (64) 9233-2708. 
#Promoção #CertificadoDigital #ACIRV #MêsDoConsumidor #DescontoExclusivo</x:t>
        </x:is>
      </x:c>
    </x:row>
    <x:row r="110" s="39" customFormat="1" ht="287.95001220703125" customHeight="1">
      <x:c r="A110" s="80" t="n">
        <x:v>45919</x:v>
      </x:c>
      <x:c r="B110" s="70" t="inlineStr">
        <x:is>
          <x:t xml:space="preserve">2025-09</x:t>
        </x:is>
      </x:c>
      <x:c r="C110" s="76" t="n">
        <x:v>1</x:v>
      </x:c>
      <x:c r="D110" s="76" t="n">
        <x:v>1063</x:v>
      </x:c>
      <x:c r="E110" s="76" t="n">
        <x:v>0</x:v>
      </x:c>
      <x:c r="F110" s="76" t="n">
        <x:v>834</x:v>
      </x:c>
      <x:c r="G110" s="76" t="n">
        <x:v>0</x:v>
      </x:c>
      <x:c r="H110" s="76" t="n">
        <x:v>20</x:v>
      </x:c>
      <x:c r="I110" s="76" t="n">
        <x:v>0</x:v>
      </x:c>
      <x:c r="J110" s="76" t="n">
        <x:v>3</x:v>
      </x:c>
      <x:c r="K110" s="76" t="n">
        <x:v>23</x:v>
      </x:c>
      <x:c r="L110" s="70" t="inlineStr">
        <x:is>
          <x:t xml:space="preserve">media/other/18107994547499258.heic</x:t>
        </x:is>
      </x:c>
      <x:c r="M110" s="70" t="inlineStr">
        <x:is>
          <x:t xml:space="preserve">🔊 Atenção, profissionais e lideranças rioverdenses da área de Saúde!
Nos dias 26 e 27 de setembro, o Núcleo Setorial de Saúde da ACIRV promove um encontro essencial para o futuro do setor em Rio Verde: a Oficina de Planejamento Estratégico. 
👥 Na sexta (26), uma roda de conversa com instituições e entidades vai traçar o panorama atual da saúde - com foco nos desafios e nas oportunidades que temos pela frente.
🧭 No sábado (27), vamos transformar diálogo em direção: é hora de construir juntos o plano estratégico do Núcleo, definindo prioridades e ações concretas.
⚙️ Participar é contribuir para um setor mais forte, articulado e preparado!
O evento é gratuito, mas para participar, realize sua inscrição no link: 
https://shre.ink/oficinadeplanejamentoestrategicoacirv.
Queremos te ouvir: compareça, profissional da Saúde de Rio Verde e traga suas ideias! 
#ACIRVeventos #NúcleoDeSaúde #OficinaDePlanejamentoEstratégico #SetorDeSaúde #ProfissionaisDeSaúde #RioVerde</x:t>
        </x:is>
      </x:c>
    </x:row>
    <x:row r="111" s="39" customFormat="1" ht="246.9499969482422" customHeight="1">
      <x:c r="A111" s="80" t="n">
        <x:v>45918</x:v>
      </x:c>
      <x:c r="B111" s="70" t="inlineStr">
        <x:is>
          <x:t xml:space="preserve">2025-09</x:t>
        </x:is>
      </x:c>
      <x:c r="C111" s="76" t="n">
        <x:v>6</x:v>
      </x:c>
      <x:c r="D111" s="76" t="n">
        <x:v>1088</x:v>
      </x:c>
      <x:c r="E111" s="76" t="n">
        <x:v>1</x:v>
      </x:c>
      <x:c r="F111" s="76" t="n">
        <x:v>903</x:v>
      </x:c>
      <x:c r="G111" s="76" t="n">
        <x:v>2</x:v>
      </x:c>
      <x:c r="H111" s="76" t="n">
        <x:v>42</x:v>
      </x:c>
      <x:c r="I111" s="76" t="n">
        <x:v>3</x:v>
      </x:c>
      <x:c r="J111" s="76" t="n">
        <x:v>0</x:v>
      </x:c>
      <x:c r="K111" s="76" t="n">
        <x:v>47</x:v>
      </x:c>
      <x:c r="L111" s="70" t="inlineStr">
        <x:is>
          <x:t xml:space="preserve">media/other/18082295824944037.heic</x:t>
        </x:is>
      </x:c>
      <x:c r="M111" s="70" t="inlineStr">
        <x:is>
          <x:t xml:space="preserve">Vamos dar boas-vindas ao novo associado da ACIRV?!
É com satisfação que damos as boas-vindas à Ferreira Instalações (@ferreiras_instalacoes_eletrica), empresa que há mais de uma década atua com excelência no setor elétrico, oferecendo soluções completas e personalizadas para a indústria.
Com 12 anos de experiência, a Ferreira Instalações - liderada pelo empresário Weliton Ferreira - tem se consolidado como referência em qualidade, segurança e inovação, atendendo clientes de diversos segmentos com serviços sob medida e tecnologia de ponta. 
Dentre as áreas de atuação, destaque para: Instalações Elétricas Industriais; Automação Industrial; Redes Elétricas e Subestações de Média Tensão; Energia Solar Fotovoltaica e Desenvolvimento de Projetos Elétricos. 
Seja bem-vinda à ACIRV! Que essa parceria traga ainda mais crescimento e oportunidades para todos!
#ACIRVNovoAssociado #FerreiraInstalações #SetorElétrico #RioVerde</x:t>
        </x:is>
      </x:c>
    </x:row>
    <x:row r="112" s="39" customFormat="1" ht="298.1499938964844" customHeight="1">
      <x:c r="A112" s="80" t="n">
        <x:v>45918</x:v>
      </x:c>
      <x:c r="B112" s="70" t="inlineStr">
        <x:is>
          <x:t xml:space="preserve">2025-09</x:t>
        </x:is>
      </x:c>
      <x:c r="C112" s="76" t="n">
        <x:v>8</x:v>
      </x:c>
      <x:c r="D112" s="76" t="n">
        <x:v>797</x:v>
      </x:c>
      <x:c r="E112" s="76" t="n">
        <x:v>0</x:v>
      </x:c>
      <x:c r="F112" s="76" t="n">
        <x:v>635</x:v>
      </x:c>
      <x:c r="G112" s="76" t="n">
        <x:v>5</x:v>
      </x:c>
      <x:c r="H112" s="76" t="n">
        <x:v>23</x:v>
      </x:c>
      <x:c r="I112" s="76" t="n">
        <x:v>0</x:v>
      </x:c>
      <x:c r="J112" s="76" t="n">
        <x:v>10</x:v>
      </x:c>
      <x:c r="K112" s="76" t="n">
        <x:v>38</x:v>
      </x:c>
      <x:c r="L112" s="70" t="inlineStr">
        <x:is>
          <x:t xml:space="preserve">media/other/18097034308571993.heic</x:t>
        </x:is>
      </x:c>
      <x:c r="M112" s="70" t="inlineStr">
        <x:is>
          <x:t xml:space="preserve">Tem uma ideia na cabeça e vontade no coração?
Chegou a hora de colocar tudo em prática com propósito!
Na oficina “Comece Algo e Faça a Diferença”, você vai descobrir como conectar seus valores pessoais ao seu caminho profissional e, ainda, aprender com atividades que vão ajudar a desenvolver:
🧠 Criatividade;
🗣️ Falar em público;
🛠️ Atitude maker;
🌱 Mentalidade de crescimento;
🤝 Colaboração.
📆 Dia: 23 de setembro
⏰ Horário: 19h às 21h
📍 Local: ACIRV (rua Dona Maricota, 199 - Setor Marconal)
🎯 Evento gratuito, mas com vagas limitadas!
✅ Garanta sua vaga agora:
👉 https://beevent.sebraego.com.br/inscreva-se/174433333
Vamos te auxiliar a colocar seus projetos e ideias em prática! 
#ACIRVeventos #ACIRVeSEBRAE #FaçaADiferença #RioVerde</x:t>
        </x:is>
      </x:c>
    </x:row>
    <x:row r="113" s="39" customFormat="1" ht="154.8000030517578" customHeight="1">
      <x:c r="A113" s="80" t="n">
        <x:v>45917</x:v>
      </x:c>
      <x:c r="B113" s="70" t="inlineStr">
        <x:is>
          <x:t xml:space="preserve">2025-09</x:t>
        </x:is>
      </x:c>
      <x:c r="C113" s="76" t="n">
        <x:v>4</x:v>
      </x:c>
      <x:c r="D113" s="76" t="n">
        <x:v>1055</x:v>
      </x:c>
      <x:c r="E113" s="76" t="n">
        <x:v>2</x:v>
      </x:c>
      <x:c r="F113" s="76" t="n">
        <x:v>932</x:v>
      </x:c>
      <x:c r="G113" s="76" t="n">
        <x:v>0</x:v>
      </x:c>
      <x:c r="H113" s="76" t="n">
        <x:v>24</x:v>
      </x:c>
      <x:c r="I113" s="76" t="n">
        <x:v>5</x:v>
      </x:c>
      <x:c r="J113" s="76" t="n">
        <x:v>6</x:v>
      </x:c>
      <x:c r="K113" s="76" t="n">
        <x:v>35</x:v>
      </x:c>
      <x:c r="L113" s="70" t="inlineStr">
        <x:is>
          <x:t xml:space="preserve">media/other/18329112172233883.heic</x:t>
        </x:is>
      </x:c>
      <x:c r="M113" s="70" t="inlineStr">
        <x:is>
          <x:t xml:space="preserve">Mais uma empresa que chega para somar!
É com alegria que recebemos a Soluções Pinturas (@cea_tintasrv) como mais nova associada da ACIRV!
Com uma equipe dedicada e apaixonada pelo que faz, a empresa atua no segmento de pintura residencial, comercial e industrial, oferecendo soluções completas com qualidade e atenção aos detalhes. É aquela empresa que transforma ambientes e supera expectativas!
Sejam muito bem-vindos! Estamos felizes em caminhar juntos por mais desenvolvimento e conexões sólidas.
#ACIRVNovoAssociado #SoluçõesPinturas #Pinturas #RioVerde</x:t>
        </x:is>
      </x:c>
    </x:row>
    <x:row r="114" s="39" customFormat="1" ht="175.3000030517578" customHeight="1">
      <x:c r="A114" s="80" t="n">
        <x:v>45915</x:v>
      </x:c>
      <x:c r="B114" s="70" t="inlineStr">
        <x:is>
          <x:t xml:space="preserve">2025-09</x:t>
        </x:is>
      </x:c>
      <x:c r="C114" s="76" t="n">
        <x:v>2</x:v>
      </x:c>
      <x:c r="D114" s="76" t="n">
        <x:v>1204</x:v>
      </x:c>
      <x:c r="E114" s="76" t="n">
        <x:v>0</x:v>
      </x:c>
      <x:c r="F114" s="76" t="n">
        <x:v>920</x:v>
      </x:c>
      <x:c r="G114" s="76" t="n">
        <x:v>6</x:v>
      </x:c>
      <x:c r="H114" s="76" t="n">
        <x:v>39</x:v>
      </x:c>
      <x:c r="I114" s="76" t="n">
        <x:v>1</x:v>
      </x:c>
      <x:c r="J114" s="76" t="n">
        <x:v>16</x:v>
      </x:c>
      <x:c r="K114" s="76" t="n">
        <x:v>62</x:v>
      </x:c>
      <x:c r="L114" s="70" t="inlineStr">
        <x:is>
          <x:t xml:space="preserve">media/other/18097565833642332.heic</x:t>
        </x:is>
      </x:c>
      <x:c r="M114" s="70" t="inlineStr">
        <x:is>
          <x:t xml:space="preserve">✨ Grandes negócios começam com uma boa conversa.
No Conecta ACIRV é possível fazer mais do que networking: você esbarra com pessoas repletas de propósito.
Vale ressaltar que o evento é aberto para todos os empresários(as): associados(as) ou não.
📅 As inscrições já estão abertas! Aproveite essa chance de fazer parte.
➡️ Acesse o link e inscreva-se: https://forms.gle/43Jg1ZTgzfRX5JgY8. 
Conecte-se. Compartilhe. Cresça.
#ACIRV #ConectaACIRV #EmpresáriosUnidos #RioVerde</x:t>
        </x:is>
      </x:c>
    </x:row>
    <x:row r="115" s="39" customFormat="1" ht="206" customHeight="1">
      <x:c r="A115" s="80" t="n">
        <x:v>45915</x:v>
      </x:c>
      <x:c r="B115" s="70" t="inlineStr">
        <x:is>
          <x:t xml:space="preserve">2025-09</x:t>
        </x:is>
      </x:c>
      <x:c r="C115" s="76" t="n">
        <x:v>9</x:v>
      </x:c>
      <x:c r="D115" s="76" t="n">
        <x:v>1642</x:v>
      </x:c>
      <x:c r="E115" s="76" t="n">
        <x:v>2</x:v>
      </x:c>
      <x:c r="F115" s="76" t="n">
        <x:v>1424</x:v>
      </x:c>
      <x:c r="G115" s="76" t="n">
        <x:v>1</x:v>
      </x:c>
      <x:c r="H115" s="76" t="n">
        <x:v>86</x:v>
      </x:c>
      <x:c r="I115" s="76" t="n">
        <x:v>4</x:v>
      </x:c>
      <x:c r="J115" s="76" t="n">
        <x:v>1</x:v>
      </x:c>
      <x:c r="K115" s="76" t="n">
        <x:v>92</x:v>
      </x:c>
      <x:c r="L115" s="70" t="inlineStr">
        <x:is>
          <x:t xml:space="preserve">media/other/17849064186528454.heic</x:t>
        </x:is>
      </x:c>
      <x:c r="M115" s="70" t="inlineStr">
        <x:is>
          <x:t xml:space="preserve">No mercado desde o ano de 2018, a Clínica Fazendo Terapia (@fazendo.terapiarv) nasceu com um propósito de oferecer um atendimento humanizado, direcionado para crianças a adolescentes. A empresa conta com uma equipe multiprofissional formada por serviços como: Psicologia, Psicopedagogia, Terapia Ocupacional, Fonoaudiologia, Nutrição, Fisioterapia, Psicomotricidade, Neuropsicologia e Neuropediatria. 
A proprietária @adriely.vaz conta que além de fortalecer o papel como empreendedora, seu objetivo com a filiação é agregar ainda mais com a saúde na cidade de Rio Verde. “Poder participar da ACIRV é algo muito importante para mim. Acredito que a saúde tem muito a somar com o comércio e, juntos, podemos construir parcerias que gerem crescimento, qualidade de vida e desenvolvimento para toda a nossa comunidade", relatou a empresária.
#ACIRVassociados #ClínicaFazendoTerapia #Saúde #CriançasEAdolescentes #RioVerde</x:t>
        </x:is>
      </x:c>
    </x:row>
    <x:row r="116" s="39" customFormat="1" ht="165.0500030517578" customHeight="1">
      <x:c r="A116" s="80" t="n">
        <x:v>45915</x:v>
      </x:c>
      <x:c r="B116" s="70" t="inlineStr">
        <x:is>
          <x:t xml:space="preserve">2025-09</x:t>
        </x:is>
      </x:c>
      <x:c r="C116" s="76" t="n">
        <x:v>3</x:v>
      </x:c>
      <x:c r="D116" s="76" t="n">
        <x:v>3185</x:v>
      </x:c>
      <x:c r="E116" s="76" t="n">
        <x:v>1</x:v>
      </x:c>
      <x:c r="F116" s="76" t="n">
        <x:v>2454</x:v>
      </x:c>
      <x:c r="G116" s="76" t="n">
        <x:v>3</x:v>
      </x:c>
      <x:c r="H116" s="76" t="n">
        <x:v>58</x:v>
      </x:c>
      <x:c r="I116" s="76" t="n">
        <x:v>9</x:v>
      </x:c>
      <x:c r="J116" s="76" t="n">
        <x:v>57</x:v>
      </x:c>
      <x:c r="K116" s="76" t="n">
        <x:v>127</x:v>
      </x:c>
      <x:c r="L116" s="70" t="inlineStr">
        <x:is>
          <x:t xml:space="preserve">media/other/18021797120736844.heic</x:t>
        </x:is>
      </x:c>
      <x:c r="M116" s="70" t="inlineStr">
        <x:is>
          <x:t xml:space="preserve">A ACIRV convida os(as) empresários(as) locais para mais uma edição do tradicional Café Entre Amigos, que será realizado nesta quinta-feira, dia 18 de setembro, às 7h30, na sede da entidade.
Este evento é uma oportunidade valiosa para fortalecer sua rede de contatos, compartilhar ideias e gerar oportunidades para sua empresa.
🔗 A participação é gratuita, mas requer inscrição antecipada.
➡️ Tem interesse? Inscreva-se pelo link: https://doity.com.br/caf-entre-amigos e garanta sua vaga!
#ACIRVeventos #CaféEntreAmigos #EventoEmpresarial #RioVerde</x:t>
        </x:is>
      </x:c>
    </x:row>
    <x:row r="117" s="39" customFormat="1" ht="216.25" customHeight="1">
      <x:c r="A117" s="80" t="n">
        <x:v>45915</x:v>
      </x:c>
      <x:c r="B117" s="70" t="inlineStr">
        <x:is>
          <x:t xml:space="preserve">2025-09</x:t>
        </x:is>
      </x:c>
      <x:c r="C117" s="76" t="n">
        <x:v>4</x:v>
      </x:c>
      <x:c r="D117" s="76" t="n">
        <x:v>281</x:v>
      </x:c>
      <x:c r="E117" s="76" t="n">
        <x:v>0</x:v>
      </x:c>
      <x:c r="F117" s="76" t="n">
        <x:v>249</x:v>
      </x:c>
      <x:c r="G117" s="76" t="n">
        <x:v>0</x:v>
      </x:c>
      <x:c r="H117" s="76" t="n">
        <x:v>7</x:v>
      </x:c>
      <x:c r="I117" s="76" t="n">
        <x:v>0</x:v>
      </x:c>
      <x:c r="J117" s="76" t="n">
        <x:v>1</x:v>
      </x:c>
      <x:c r="K117" s="76" t="n">
        <x:v>8</x:v>
      </x:c>
      <x:c r="L117" s="70" t="inlineStr">
        <x:is>
          <x:t xml:space="preserve">media/other/18090262978750425.heic</x:t>
        </x:is>
      </x:c>
      <x:c r="M117" s="70" t="inlineStr">
        <x:is>
          <x:t xml:space="preserve">💙 O cliente é o coração do comércio — e também das empresas de serviços e negócios B2B!
Neste Dia do Cliente, a ACIRV celebra a confiança, a parceria e a fidelidade de quem impulsiona a nossa economia: você, cliente que acredita, investe e constrói junto.
Seja no varejo, na prestação de serviços ou nas relações entre empresas, cada cliente é parte fundamental do sucesso. Valorizamos quem está do outro lado da mesa, contribuindo com diálogo, confiança e colaboração.
Nosso apoio a essa data é um reconhecimento à importância de cultivar bons relacionamentos e oferecer sempre o melhor — com transparência, compromisso e profissionalismo.
Que o Dia do Cliente seja comemorado com carinho, bons negócios e gratidão!
#ACIRVapoia #DiaDoCliente #ClienteValorizado #B2B #RelacionamentoComCliente</x:t>
        </x:is>
      </x:c>
    </x:row>
    <x:row r="118" s="39" customFormat="1" ht="206" customHeight="1">
      <x:c r="A118" s="80" t="n">
        <x:v>45912</x:v>
      </x:c>
      <x:c r="B118" s="70" t="inlineStr">
        <x:is>
          <x:t xml:space="preserve">2025-09</x:t>
        </x:is>
      </x:c>
      <x:c r="C118" s="76" t="n">
        <x:v>7</x:v>
      </x:c>
      <x:c r="D118" s="76" t="n">
        <x:v>1651</x:v>
      </x:c>
      <x:c r="E118" s="76" t="n">
        <x:v>3</x:v>
      </x:c>
      <x:c r="F118" s="76" t="n">
        <x:v>1312</x:v>
      </x:c>
      <x:c r="G118" s="76" t="n">
        <x:v>3</x:v>
      </x:c>
      <x:c r="H118" s="76" t="n">
        <x:v>31</x:v>
      </x:c>
      <x:c r="I118" s="76" t="n">
        <x:v>2</x:v>
      </x:c>
      <x:c r="J118" s="76" t="n">
        <x:v>26</x:v>
      </x:c>
      <x:c r="K118" s="76" t="n">
        <x:v>62</x:v>
      </x:c>
      <x:c r="L118" s="70" t="inlineStr">
        <x:is>
          <x:t xml:space="preserve">media/other/18186528295323892.heic</x:t>
        </x:is>
      </x:c>
      <x:c r="M118" s="70" t="inlineStr">
        <x:is>
          <x:t xml:space="preserve">Empreendedora, tá na hora de assumir o controle das suas finanças!
Sabia que entender os processos financeiros do seu negócio pode ser mais simples do que parece?
A Oficina de Finanças, realizada pela ACIRV - por meio do ACIRV Mulher - em parceria com o SEBRAE e o Programa Empreender (CACB), foi pensada pra você - que busca crescer - prosperar e tomar decisões com mais segurança.
A oficina apresenta: 
✔️ Linguagem acessível;
✔️ Conteúdo prático;
✔️ Foco em resultados reais!
📌 O evento é aberto ao público. Mas as inscrições já foram encerradas! 
👉 Sua saúde financeira agradece. Seu negócio também. 💼</x:t>
        </x:is>
      </x:c>
    </x:row>
    <x:row r="119" s="39" customFormat="1" ht="298.1499938964844" customHeight="1">
      <x:c r="A119" s="80" t="n">
        <x:v>45911</x:v>
      </x:c>
      <x:c r="B119" s="70" t="inlineStr">
        <x:is>
          <x:t xml:space="preserve">2025-09</x:t>
        </x:is>
      </x:c>
      <x:c r="C119" s="76" t="n">
        <x:v>3</x:v>
      </x:c>
      <x:c r="D119" s="76" t="n">
        <x:v>672</x:v>
      </x:c>
      <x:c r="E119" s="76" t="n">
        <x:v>0</x:v>
      </x:c>
      <x:c r="F119" s="76" t="n">
        <x:v>650</x:v>
      </x:c>
      <x:c r="G119" s="76" t="n">
        <x:v>0</x:v>
      </x:c>
      <x:c r="H119" s="76" t="n">
        <x:v>27</x:v>
      </x:c>
      <x:c r="I119" s="76" t="n">
        <x:v>4</x:v>
      </x:c>
      <x:c r="J119" s="76" t="n">
        <x:v>0</x:v>
      </x:c>
      <x:c r="K119" s="76" t="n">
        <x:v>31</x:v>
      </x:c>
      <x:c r="L119" s="70" t="inlineStr">
        <x:is>
          <x:t xml:space="preserve">media/other/18053902460196164.jpg</x:t>
        </x:is>
      </x:c>
      <x:c r="M119" s="70" t="inlineStr">
        <x:is>
          <x:t xml:space="preserve">A ACIRV tem a satisfação de anunciar a chegada da Dispor (@disporcoleta) ao nosso quadro de associadas. Especializada no manejo e na coleta de resíduos perigosos, a empresa oferece soluções seguras, responsáveis e alinhadas às exigências ambientais, atendendo profissionais da saúde, estética, farmácias e laboratórios.
À frente da empresa, está Jairo Moreira, que representa o compromisso da Dispor com a inovação, a responsabilidade socioambiental e o desenvolvimento sustentável. Ele vê com bons olhos a nova parceria. "Acredito que estar conectado a uma entidade tão representativa e comprometida com o fortalecimento do comércio e da indústria local é um passo importante para o crescimento da Dispor. Temos boas expectativas de trocar experiências, ampliar nosso networking e participar ativamente das ações que promovam o desenvolvimento econômico da região. Estou confiante de que essa parceria vai render ótimos frutos, tanto para nossa empresa quanto para a comunidade empresarial", observou. 
É com orgulho que recebemos a Dispor em nossa rede de associados. Juntos, seguimos fortalecendo o empreendedorismo local, promovendo conexões e impulsionando o crescimento da nossa região.
Seja muito bem-vinda, Dispor! 💚
#ACIRVassociados #ACIRVeDispor #ResponsabilidadeSocial #RioVerde</x:t>
        </x:is>
      </x:c>
    </x:row>
    <x:row r="120" s="39" customFormat="1" ht="185.5" customHeight="1">
      <x:c r="A120" s="80" t="n">
        <x:v>45911</x:v>
      </x:c>
      <x:c r="B120" s="70" t="inlineStr">
        <x:is>
          <x:t xml:space="preserve">2025-09</x:t>
        </x:is>
      </x:c>
      <x:c r="C120" s="76" t="n">
        <x:v>4</x:v>
      </x:c>
      <x:c r="D120" s="76" t="n">
        <x:v>835</x:v>
      </x:c>
      <x:c r="E120" s="76" t="n">
        <x:v>1</x:v>
      </x:c>
      <x:c r="F120" s="76" t="n">
        <x:v>696</x:v>
      </x:c>
      <x:c r="G120" s="76" t="n">
        <x:v>4</x:v>
      </x:c>
      <x:c r="H120" s="76" t="n">
        <x:v>39</x:v>
      </x:c>
      <x:c r="I120" s="76" t="n">
        <x:v>6</x:v>
      </x:c>
      <x:c r="J120" s="76" t="n">
        <x:v>11</x:v>
      </x:c>
      <x:c r="K120" s="76" t="n">
        <x:v>60</x:v>
      </x:c>
      <x:c r="L120" s="70" t="inlineStr">
        <x:is>
          <x:t xml:space="preserve">media/other/17894186490314662.heic</x:t>
        </x:is>
      </x:c>
      <x:c r="M120" s="70" t="inlineStr">
        <x:is>
          <x:t xml:space="preserve">Está chegando o evento que conecta ideias, pessoas e oportunidades! 
A 3ª edição do Conecta ACIRV já tem data marcada: 
🗓 09 de outubro
🕡 A partir das 18h30
📍 ACIRV 
🚀 Um encontro pensado para quem quer crescer, aprender e se conectar com o melhor do empreendedorismo regional. 
🌐 O link para inscrição estará disponível a partir de segunda-feira (15/09). Já anote na agenda e se prepare, pois esta edição promete! 
#ConectaACIRV #Empreendedorismo #ConexõesQueTransformam</x:t>
        </x:is>
      </x:c>
    </x:row>
    <x:row r="121" s="39" customFormat="1" ht="154.8000030517578" customHeight="1">
      <x:c r="A121" s="80" t="n">
        <x:v>45910</x:v>
      </x:c>
      <x:c r="B121" s="70" t="inlineStr">
        <x:is>
          <x:t xml:space="preserve">2025-09</x:t>
        </x:is>
      </x:c>
      <x:c r="C121" s="76" t="n">
        <x:v>4</x:v>
      </x:c>
      <x:c r="D121" s="76" t="n">
        <x:v>1117</x:v>
      </x:c>
      <x:c r="E121" s="76" t="n">
        <x:v>0</x:v>
      </x:c>
      <x:c r="F121" s="76" t="n">
        <x:v>906</x:v>
      </x:c>
      <x:c r="G121" s="76" t="n">
        <x:v>0</x:v>
      </x:c>
      <x:c r="H121" s="76" t="n">
        <x:v>70</x:v>
      </x:c>
      <x:c r="I121" s="76" t="n">
        <x:v>19</x:v>
      </x:c>
      <x:c r="J121" s="76" t="n">
        <x:v>1</x:v>
      </x:c>
      <x:c r="K121" s="76" t="n">
        <x:v>90</x:v>
      </x:c>
      <x:c r="L121" s="70" t="inlineStr">
        <x:is>
          <x:t xml:space="preserve">media/other/18091154566687128.heic</x:t>
        </x:is>
      </x:c>
      <x:c r="M121" s="70" t="inlineStr">
        <x:is>
          <x:t xml:space="preserve">A ACIRV dá boas-vindas à Boost Digital, nossa nova associada que atua há 2 anos no ramo de anúncios online, levando empresas a novos patamares de visibilidade e conversão no mundo digital. 
O empresário @viniciusandraade de explica que além de aumentar a rede de contatos, seu intuito com a filiação é fazer história. "Meu objetivo é de somar, tanto para a ACIRV quanto para os associados. Temos diferenciais e queremos oferecer nossos serviços, participando da história dos potenciais clientes que vamos conquistar por meio da ACIRV", observa. 
Vinicius e equipe, contem com a ACIRV nessa jornada! 
#ACIRVassociados #BoostDigital #MarketingDigital #RioVerde</x:t>
        </x:is>
      </x:c>
    </x:row>
    <x:row r="122" s="39" customFormat="1" ht="154.8000030517578" customHeight="1">
      <x:c r="A122" s="80" t="n">
        <x:v>45909</x:v>
      </x:c>
      <x:c r="B122" s="70" t="inlineStr">
        <x:is>
          <x:t xml:space="preserve">2025-09</x:t>
        </x:is>
      </x:c>
      <x:c r="C122" s="76" t="n">
        <x:v>18</x:v>
      </x:c>
      <x:c r="D122" s="76" t="n">
        <x:v>4420</x:v>
      </x:c>
      <x:c r="E122" s="76" t="n">
        <x:v>1</x:v>
      </x:c>
      <x:c r="F122" s="76" t="n">
        <x:v>3532</x:v>
      </x:c>
      <x:c r="G122" s="76" t="n">
        <x:v>0</x:v>
      </x:c>
      <x:c r="H122" s="76" t="n">
        <x:v>171</x:v>
      </x:c>
      <x:c r="I122" s="76" t="n">
        <x:v>84</x:v>
      </x:c>
      <x:c r="J122" s="76" t="n">
        <x:v>14</x:v>
      </x:c>
      <x:c r="K122" s="76" t="n">
        <x:v>269</x:v>
      </x:c>
      <x:c r="L122" s="70" t="inlineStr">
        <x:is>
          <x:t xml:space="preserve">media/other/17847359010557882.jpg</x:t>
        </x:is>
      </x:c>
      <x:c r="M122" s="70" t="inlineStr">
        <x:is>
          <x:t xml:space="preserve">🎤✨ O 2º dia de audições do Festival Barzinho &amp; Violão trouxe ainda mais emoção e vozes inesquecíveis! Os classificados da noite foram: Gallo, Paula Jesmyelle e Greidiane Lira! 
Agora é contagem regressiva para a grande final, que acontece no lançamento da Sudoexpo, dia 3 de outubro. Quem será a voz que vai conquistar o título? 🎶
📍 Realização: ACIRV
🤝 Patrocínio: Sicoob Empresarial
🎓 Apoio: UniRV e Prefeitura de Rio Verde
#FestivalBarzinhoEViolão #ACIRV #Sudoexpo2026 #MúsicaQueConecta</x:t>
        </x:is>
      </x:c>
    </x:row>
    <x:row r="123" s="39" customFormat="1" ht="277.70001220703125" customHeight="1">
      <x:c r="A123" s="80" t="n">
        <x:v>45908</x:v>
      </x:c>
      <x:c r="B123" s="70" t="inlineStr">
        <x:is>
          <x:t xml:space="preserve">2025-09</x:t>
        </x:is>
      </x:c>
      <x:c r="C123" s="76" t="n">
        <x:v>6</x:v>
      </x:c>
      <x:c r="D123" s="76" t="n">
        <x:v>838</x:v>
      </x:c>
      <x:c r="E123" s="76" t="n">
        <x:v>0</x:v>
      </x:c>
      <x:c r="F123" s="76" t="n">
        <x:v>702</x:v>
      </x:c>
      <x:c r="G123" s="76" t="n">
        <x:v>0</x:v>
      </x:c>
      <x:c r="H123" s="76" t="n">
        <x:v>24</x:v>
      </x:c>
      <x:c r="I123" s="76" t="n">
        <x:v>7</x:v>
      </x:c>
      <x:c r="J123" s="76" t="n">
        <x:v>5</x:v>
      </x:c>
      <x:c r="K123" s="76" t="n">
        <x:v>36</x:v>
      </x:c>
      <x:c r="L123" s="70" t="inlineStr">
        <x:is>
          <x:t xml:space="preserve">media/other/18091301725743013.heic</x:t>
        </x:is>
      </x:c>
      <x:c r="M123" s="70" t="inlineStr">
        <x:is>
          <x:t xml:space="preserve">A Excellent Global (@excellentglobalrv) é uma escola de idiomas que ministra aulas 100% conversação, com uma metodologia de ensino “não-linear”, que permite uma aprendizagem rápida e eficaz.
A instituição de ensino oferece uma gama completa de cursos para atender as necessidades de aprendizado do aluno. Dentre eles estão: Inglês, Espanhol, Português para Estrangeiros, além do Curso Trílingue Exclusivo - uma oportunidade de dominar simultaneamente o Francês, o Espanhol e o Italiano. Também há acompanhamento escolar  para as disciplinas de Língua Portuguesa e Matemática.
A empresária @simonesmoraes12 relata que a valorização do aluno e unir forças foram motivações para que ela decidisse se associar à ACIRV. "Através dessa parceria buscamos  gerar trocas de conhecimento e experiências, aumentar nossa visibilidade mútua e, juntos, oferecer um valor ainda maior para nossos alunos e comunidades. Acreditamos que a união de nossas forças pode proporcionar novas oportunidades de aprendizado e crescimento para todos(as)", disse a proprietária.
Agradecemos pela confiança. Seja bem-vinda você, Simone, e toda sua equipe ao time de associados ACIRV. 
#ACIRVassociados #ACIRVExcellentGlobalIdiomas #EscolaDeIdiomas #RioVerde</x:t>
        </x:is>
      </x:c>
    </x:row>
    <x:row r="124" s="39" customFormat="1" ht="154.8000030517578" customHeight="1">
      <x:c r="A124" s="80" t="n">
        <x:v>45908</x:v>
      </x:c>
      <x:c r="B124" s="70" t="inlineStr">
        <x:is>
          <x:t xml:space="preserve">2025-09</x:t>
        </x:is>
      </x:c>
      <x:c r="C124" s="76" t="n">
        <x:v>38</x:v>
      </x:c>
      <x:c r="D124" s="76" t="n">
        <x:v>4097</x:v>
      </x:c>
      <x:c r="E124" s="76" t="n">
        <x:v>5</x:v>
      </x:c>
      <x:c r="F124" s="76" t="n">
        <x:v>3164</x:v>
      </x:c>
      <x:c r="G124" s="76" t="n">
        <x:v>2</x:v>
      </x:c>
      <x:c r="H124" s="76" t="n">
        <x:v>159</x:v>
      </x:c>
      <x:c r="I124" s="76" t="n">
        <x:v>51</x:v>
      </x:c>
      <x:c r="J124" s="76" t="n">
        <x:v>14</x:v>
      </x:c>
      <x:c r="K124" s="76" t="n">
        <x:v>226</x:v>
      </x:c>
      <x:c r="L124" s="70" t="inlineStr">
        <x:is>
          <x:t xml:space="preserve">media/other/18082991476930291.jpg</x:t>
        </x:is>
      </x:c>
      <x:c r="M124" s="70" t="inlineStr">
        <x:is>
          <x:t xml:space="preserve">🎶✨ O talento falou alto no 1º dia de audições do Festival Barzinho &amp; Violão! Nossos classificados — Arturito, Ellen Farias e Weder Ribeiro foram um dos 6 finalistas que emocionaram o público e conquistaram seu espaço rumo à grande final.
E a jornada está só começando: a decisão será no lançamento da Sudoexpo, dia 3 de outubro, quando conheceremos quem vai brilhar como grande vencedor(a).
📍 Festival realizado pela ACIRV
🤝 Patrocínio: Sicoob Empresarial
🎓 Apoio: UniRV e Prefeitura de Rio Verde
#FestivalBarzinhoEViolão #ACIRV #Sudoexpo2026 #MúsicaÉCultura</x:t>
        </x:is>
      </x:c>
    </x:row>
    <x:row r="125" s="39" customFormat="1" ht="124.05000305175781" customHeight="1">
      <x:c r="A125" s="80" t="n">
        <x:v>45907</x:v>
      </x:c>
      <x:c r="B125" s="70" t="inlineStr">
        <x:is>
          <x:t xml:space="preserve">2025-09</x:t>
        </x:is>
      </x:c>
      <x:c r="C125" s="76" t="n">
        <x:v>1</x:v>
      </x:c>
      <x:c r="D125" s="76" t="n">
        <x:v>266</x:v>
      </x:c>
      <x:c r="E125" s="76" t="n">
        <x:v>0</x:v>
      </x:c>
      <x:c r="F125" s="76" t="n">
        <x:v>239</x:v>
      </x:c>
      <x:c r="G125" s="76" t="n">
        <x:v>0</x:v>
      </x:c>
      <x:c r="H125" s="76" t="n">
        <x:v>11</x:v>
      </x:c>
      <x:c r="I125" s="76" t="n">
        <x:v>6</x:v>
      </x:c>
      <x:c r="J125" s="76" t="n">
        <x:v>2</x:v>
      </x:c>
      <x:c r="K125" s="76" t="n">
        <x:v>19</x:v>
      </x:c>
      <x:c r="L125" s="70" t="inlineStr">
        <x:is>
          <x:t xml:space="preserve">media/other/18123160681489228.heic</x:t>
        </x:is>
      </x:c>
      <x:c r="M125" s="70" t="inlineStr">
        <x:is>
          <x:t xml:space="preserve">🇧🇷 Independência se conquista todos os dias.
Em Rio Verde, ela se manifesta no comércio que cresce, nas indústrias que inovam e nas pessoas que fazem a diferença.
Neste 7 de Setembro, a ACIRV celebra o orgulho de ser brasileiro e o compromisso com o desenvolvimento da nossa cidade e região.
💚 Juntos somos mais fortes. Juntos somos Brasil.
#ACIRV #7DeSetembro #IndependênciaDoBrasil</x:t>
        </x:is>
      </x:c>
    </x:row>
    <x:row r="126" s="39" customFormat="1" ht="216.25" customHeight="1">
      <x:c r="A126" s="80" t="n">
        <x:v>45904</x:v>
      </x:c>
      <x:c r="B126" s="70" t="inlineStr">
        <x:is>
          <x:t xml:space="preserve">2025-09</x:t>
        </x:is>
      </x:c>
      <x:c r="C126" s="76" t="n">
        <x:v>12</x:v>
      </x:c>
      <x:c r="D126" s="76" t="n">
        <x:v>1722</x:v>
      </x:c>
      <x:c r="E126" s="76" t="n">
        <x:v>2</x:v>
      </x:c>
      <x:c r="F126" s="76" t="n">
        <x:v>1470</x:v>
      </x:c>
      <x:c r="G126" s="76" t="n">
        <x:v>0</x:v>
      </x:c>
      <x:c r="H126" s="76" t="n">
        <x:v>62</x:v>
      </x:c>
      <x:c r="I126" s="76" t="n">
        <x:v>18</x:v>
      </x:c>
      <x:c r="J126" s="76" t="n">
        <x:v>5</x:v>
      </x:c>
      <x:c r="K126" s="76" t="n">
        <x:v>85</x:v>
      </x:c>
      <x:c r="L126" s="70" t="inlineStr">
        <x:is>
          <x:t xml:space="preserve">media/other/17929204913982748.heic</x:t>
        </x:is>
      </x:c>
      <x:c r="M126" s="70" t="inlineStr">
        <x:is>
          <x:t xml:space="preserve">A ValeSafe (@valesafe.rioverde) é uma rede de franquias - que nasceu em 2012, na cidade de Taubaté, no estado de SP - e chegou a Rio Verde em 2024. A empresa tem o intuito não só de realizar transações comerciais, mas de fazer parte da segurança de cada trabalhador da região, aliando atendimento especializado a preço justo.
O sócio-administrador, @sampaioricardo, e sua sócia e esposa, @andressaroberti, buscam representatividade junto à ACIRV. “Nos filiamos com o intuito de podermos fazer parte da entidade de uma forma que clareie e abra novos horizontes, desde a representatividade em eventuais tratativas que envolvam nossa classe do comércio, além do apoio e de parcerias, com o objetivo de evoluirmos a empresa nos setores internos”, declarou o sócio-administrador. 
Representatividade é o nosso lema! 
Bem-vindo, esperamos que seja uma jornada de sucesso! 
#ACIRVassociados #SegurançaDoTrabalho #RioVerde</x:t>
        </x:is>
      </x:c>
    </x:row>
    <x:row r="127" s="39" customFormat="1" ht="175.3000030517578" customHeight="1">
      <x:c r="A127" s="80" t="n">
        <x:v>45901</x:v>
      </x:c>
      <x:c r="B127" s="70" t="inlineStr">
        <x:is>
          <x:t xml:space="preserve">2025-09</x:t>
        </x:is>
      </x:c>
      <x:c r="C127" s="76" t="n">
        <x:v>4</x:v>
      </x:c>
      <x:c r="D127" s="76" t="n">
        <x:v>232</x:v>
      </x:c>
      <x:c r="E127" s="76" t="n">
        <x:v>0</x:v>
      </x:c>
      <x:c r="F127" s="76" t="n">
        <x:v>213</x:v>
      </x:c>
      <x:c r="G127" s="76" t="n">
        <x:v>0</x:v>
      </x:c>
      <x:c r="H127" s="76" t="n">
        <x:v>7</x:v>
      </x:c>
      <x:c r="I127" s="76" t="n">
        <x:v>0</x:v>
      </x:c>
      <x:c r="J127" s="76" t="n">
        <x:v>1</x:v>
      </x:c>
      <x:c r="K127" s="76" t="n">
        <x:v>8</x:v>
      </x:c>
      <x:c r="L127" s="70" t="inlineStr">
        <x:is>
          <x:t xml:space="preserve">media/other/18057703667119954.heic</x:t>
        </x:is>
      </x:c>
      <x:c r="M127" s="70" t="inlineStr">
        <x:is>
          <x:t xml:space="preserve">Setembro Amarelo: Você não está sozinho.
A ACIRV acredita que falar é o primeiro passo para curar.
Neste Setembro Amarelo, reforçamos o compromisso com a vida, com o cuidado e com a escuta ativa.
Você é importante. Sua vida tem valor.
Se algo não vai bem, procure apoio. Vamos quebrar o tabu, abraçar o diálogo e construir uma sociedade mais empática.
📞 Se você estiver passando por um momento difícil, não hesite em buscar ajuda. O Centro de Valorização da Vida (CVV) oferece apoio emocional gratuito, 24h por dia: Ligue 188.
#ACIRVcausas #SetembroAmarelo #PrevençãoAoSuicídio #SaúdeMental</x:t>
        </x:is>
      </x:c>
    </x:row>
    <x:row r="128" s="39" customFormat="1" ht="144.5500030517578" customHeight="1">
      <x:c r="A128" s="80" t="n">
        <x:v>45898</x:v>
      </x:c>
      <x:c r="B128" s="70" t="inlineStr">
        <x:is>
          <x:t xml:space="preserve">2025-08</x:t>
        </x:is>
      </x:c>
      <x:c r="C128" s="76" t="n">
        <x:v>0</x:v>
      </x:c>
      <x:c r="D128" s="76" t="n">
        <x:v>759</x:v>
      </x:c>
      <x:c r="E128" s="76" t="n">
        <x:v>0</x:v>
      </x:c>
      <x:c r="F128" s="76" t="n">
        <x:v>714</x:v>
      </x:c>
      <x:c r="G128" s="76" t="n">
        <x:v>0</x:v>
      </x:c>
      <x:c r="H128" s="76" t="n">
        <x:v>36</x:v>
      </x:c>
      <x:c r="I128" s="76" t="n">
        <x:v>0</x:v>
      </x:c>
      <x:c r="J128" s="76" t="n">
        <x:v>0</x:v>
      </x:c>
      <x:c r="K128" s="76" t="n">
        <x:v>36</x:v>
      </x:c>
      <x:c r="L128" s="70" t="inlineStr">
        <x:is>
          <x:t xml:space="preserve">media/other/18047445530315860.heic</x:t>
        </x:is>
      </x:c>
      <x:c r="M128" s="70" t="inlineStr">
        <x:is>
          <x:t xml:space="preserve">No Paço Municipal, na Sala do Agro, a ACIRV se reuniu com o vice-prefeito de Rio Verde Walter Baylão, essa semana. O intuito do encontro teve como objetivo estreitar laços e discutir parcerias estratégicas que beneficiem o comércio e a indústria local.
José Carlos Cintra, presidente da ACIRV, falou sobre a união entre as entidades para garantir melhorias visando o bem do setor empresarial. "Essa aproximação com o poder público é essencial para que possamos juntos superar desafios e aproveitar as oportunidades que nossa cidade oferece", observou. 
#ACIRVreuniões #PoderExecutivo #RioVerde</x:t>
        </x:is>
      </x:c>
    </x:row>
    <x:row r="129" s="39" customFormat="1" ht="206" customHeight="1">
      <x:c r="A129" s="80" t="n">
        <x:v>45896</x:v>
      </x:c>
      <x:c r="B129" s="70" t="inlineStr">
        <x:is>
          <x:t xml:space="preserve">2025-08</x:t>
        </x:is>
      </x:c>
      <x:c r="C129" s="76" t="n">
        <x:v>2</x:v>
      </x:c>
      <x:c r="D129" s="76" t="n">
        <x:v>290</x:v>
      </x:c>
      <x:c r="E129" s="76" t="n">
        <x:v>0</x:v>
      </x:c>
      <x:c r="F129" s="76" t="n">
        <x:v>269</x:v>
      </x:c>
      <x:c r="G129" s="76" t="n">
        <x:v>0</x:v>
      </x:c>
      <x:c r="H129" s="76" t="n">
        <x:v>11</x:v>
      </x:c>
      <x:c r="I129" s="76" t="n">
        <x:v>0</x:v>
      </x:c>
      <x:c r="J129" s="76" t="n">
        <x:v>0</x:v>
      </x:c>
      <x:c r="K129" s="76" t="n">
        <x:v>11</x:v>
      </x:c>
      <x:c r="L129" s="70" t="inlineStr">
        <x:is>
          <x:t xml:space="preserve">media/other/17872300602422469.heic</x:t>
        </x:is>
      </x:c>
      <x:c r="M129" s="70" t="inlineStr">
        <x:is>
          <x:t xml:space="preserve">✨ Começar o dia com bons contatos, boas conversas e um bom café faz toda a diferença!
O Café Entre Amigos da ACIRV é amanhã e você é nosso(a) convidado(a) especial para esse momento de conexão e troca entre empreendedores, empresários e profissionais da região.
📅 28 de agosto de 2025
🕢 7h30
📍 Auditório da ACIRV
O evento é gratuito, mas é necessário realizar sua inscrição pelo link: https://www.sympla.com.br/evento/cafe-entre-amigos-da-acirv/3089667
Traga seu cartão de visitas, suas ideias e sua energia! Networking e oportunidades te esperam logo cedo. 😉
#ACIRVeventos #CaféEntreAmigos #BomDiaComNetworking #RioVerde</x:t>
        </x:is>
      </x:c>
    </x:row>
    <x:row r="130" s="39" customFormat="1" ht="165.0500030517578" customHeight="1">
      <x:c r="A130" s="80" t="n">
        <x:v>45894</x:v>
      </x:c>
      <x:c r="B130" s="70" t="inlineStr">
        <x:is>
          <x:t xml:space="preserve">2025-08</x:t>
        </x:is>
      </x:c>
      <x:c r="C130" s="76" t="n">
        <x:v>3</x:v>
      </x:c>
      <x:c r="D130" s="76" t="n">
        <x:v>1120</x:v>
      </x:c>
      <x:c r="E130" s="76" t="n">
        <x:v>0</x:v>
      </x:c>
      <x:c r="F130" s="76" t="n">
        <x:v>1028</x:v>
      </x:c>
      <x:c r="G130" s="76" t="n">
        <x:v>0</x:v>
      </x:c>
      <x:c r="H130" s="76" t="n">
        <x:v>31</x:v>
      </x:c>
      <x:c r="I130" s="76" t="n">
        <x:v>2</x:v>
      </x:c>
      <x:c r="J130" s="76" t="n">
        <x:v>3</x:v>
      </x:c>
      <x:c r="K130" s="76" t="n">
        <x:v>36</x:v>
      </x:c>
      <x:c r="L130" s="70" t="inlineStr">
        <x:is>
          <x:t xml:space="preserve">media/other/18014373737784988.heic</x:t>
        </x:is>
      </x:c>
      <x:c r="M130" s="70" t="inlineStr">
        <x:is>
          <x:t xml:space="preserve">Com o objetivo de realizar novas conexões e ampliar o networking, os sócios @chayene.cynthia e @silfarneyoliveiramaia aderiram à ACIRV. Chayene possui 29 anos de experiência no setor do agronegócio e seu esposo Silfarney é especialista na área comercial. 
Juntos, eles aliaram o know-how que possuem no segmento e há dois anos administram a Central Sementes Brasil (@centralsementesbrasil).
Localizada em Rio Verde, a empresa comercializa uma variedade de sementes como: arroz, feijão, soja, milheto e mix de cobertura. 
#ACIRVassociados #ACIRVCentralSementesBrasil #Agranegócio #RioVerde</x:t>
        </x:is>
      </x:c>
    </x:row>
    <x:row r="131" s="39" customFormat="1" ht="185.5" customHeight="1">
      <x:c r="A131" s="80" t="n">
        <x:v>45890</x:v>
      </x:c>
      <x:c r="B131" s="70" t="inlineStr">
        <x:is>
          <x:t xml:space="preserve">2025-08</x:t>
        </x:is>
      </x:c>
      <x:c r="C131" s="76" t="n">
        <x:v>4</x:v>
      </x:c>
      <x:c r="D131" s="76" t="n">
        <x:v>294</x:v>
      </x:c>
      <x:c r="E131" s="76" t="n">
        <x:v>0</x:v>
      </x:c>
      <x:c r="F131" s="76" t="n">
        <x:v>250</x:v>
      </x:c>
      <x:c r="G131" s="76" t="n">
        <x:v>0</x:v>
      </x:c>
      <x:c r="H131" s="76" t="n">
        <x:v>7</x:v>
      </x:c>
      <x:c r="I131" s="76" t="n">
        <x:v>0</x:v>
      </x:c>
      <x:c r="J131" s="76" t="n">
        <x:v>0</x:v>
      </x:c>
      <x:c r="K131" s="76" t="n">
        <x:v>7</x:v>
      </x:c>
      <x:c r="L131" s="70" t="inlineStr">
        <x:is>
          <x:t xml:space="preserve">media/other/17875878822402439.jpg</x:t>
        </x:is>
      </x:c>
      <x:c r="M131" s="70" t="inlineStr">
        <x:is>
          <x:t xml:space="preserve">Informamos que o Encontro de Planejamento Estratégico do Núcleo Setorial de Saúde da ACIRV foi adiado.
A decisão foi tomada para garantir a participação plena dos envolvidos e a melhor condução das atividades propostas. Em breve, divulgaremos a nova data e detalhes da programação atualizada.
Agradecemos a compreensão de todos e reforçamos o nosso compromisso como  organização de um encontro produtivo e alinhado às expectativas dos participantes.
🔄 Fique atento aos nossos canais oficiais para as próximas atualizações!
#ACIRVeventos #NúcleoDeSaúde #PlanejamentoEstratégico #ProfissionaisDeSaúde #Comunicado #NovaDataEmBreve #RioVerde</x:t>
        </x:is>
      </x:c>
    </x:row>
    <x:row r="132" s="39" customFormat="1" ht="216.25" customHeight="1">
      <x:c r="A132" s="80" t="n">
        <x:v>45890</x:v>
      </x:c>
      <x:c r="B132" s="70" t="inlineStr">
        <x:is>
          <x:t xml:space="preserve">2025-08</x:t>
        </x:is>
      </x:c>
      <x:c r="C132" s="76" t="n">
        <x:v>8</x:v>
      </x:c>
      <x:c r="D132" s="76" t="n">
        <x:v>683</x:v>
      </x:c>
      <x:c r="E132" s="76" t="n">
        <x:v>0</x:v>
      </x:c>
      <x:c r="F132" s="76" t="n">
        <x:v>565</x:v>
      </x:c>
      <x:c r="G132" s="76" t="n">
        <x:v>0</x:v>
      </x:c>
      <x:c r="H132" s="76" t="n">
        <x:v>18</x:v>
      </x:c>
      <x:c r="I132" s="76" t="n">
        <x:v>2</x:v>
      </x:c>
      <x:c r="J132" s="76" t="n">
        <x:v>5</x:v>
      </x:c>
      <x:c r="K132" s="76" t="n">
        <x:v>25</x:v>
      </x:c>
      <x:c r="L132" s="70" t="inlineStr">
        <x:is>
          <x:t xml:space="preserve">media/other/18084456460870588.jpg</x:t>
        </x:is>
      </x:c>
      <x:c r="M132" s="70" t="inlineStr">
        <x:is>
          <x:t xml:space="preserve">🚀 Empresário, esse convite é para você!
No dia 28 de agosto, às 7h30, te esperamos na sede da ACIRV para mais uma edição do Café Entre Amigos: um momento especial para networking, troca de ideias e fortalecimento de conexões entre empresários da nossa região.
☕ O café é por nossa conta e a conversa também promete ser boa!
✅ A participação é gratuita, mas é necessário confirmar presença. 
📲 Inscreva-se agora pelo link: https://www.sympla.com.br/evento/cafe-entre-amigos-da-acirv/3089667
Nos vemos lá?
#ACIRVeventos #CaféEntreAmigos #EventoEmpresarial #RioVerde</x:t>
        </x:is>
      </x:c>
    </x:row>
    <x:row r="133" s="39" customFormat="1" ht="154.8000030517578" customHeight="1">
      <x:c r="A133" s="80" t="n">
        <x:v>45889</x:v>
      </x:c>
      <x:c r="B133" s="70" t="inlineStr">
        <x:is>
          <x:t xml:space="preserve">2025-08</x:t>
        </x:is>
      </x:c>
      <x:c r="C133" s="76" t="n">
        <x:v>2</x:v>
      </x:c>
      <x:c r="D133" s="76" t="n">
        <x:v>418</x:v>
      </x:c>
      <x:c r="E133" s="76" t="n">
        <x:v>0</x:v>
      </x:c>
      <x:c r="F133" s="76" t="n">
        <x:v>366</x:v>
      </x:c>
      <x:c r="G133" s="76" t="n">
        <x:v>0</x:v>
      </x:c>
      <x:c r="H133" s="76" t="n">
        <x:v>8</x:v>
      </x:c>
      <x:c r="I133" s="76" t="n">
        <x:v>0</x:v>
      </x:c>
      <x:c r="J133" s="76" t="n">
        <x:v>2</x:v>
      </x:c>
      <x:c r="K133" s="76" t="n">
        <x:v>10</x:v>
      </x:c>
      <x:c r="L133" s="70" t="inlineStr">
        <x:is>
          <x:t xml:space="preserve">media/other/18106780591493864.jpg</x:t>
        </x:is>
      </x:c>
      <x:c r="M133" s="70" t="inlineStr">
        <x:is>
          <x:t xml:space="preserve">❓O que é arbitragem?
É uma forma de resolver disputas fora da justiça comum, de maneira mais rápida, sigilosa e eficaz.
A Câmara de Arbitragem da ACIRV é especializada em promover soluções para empresas e cidadãos de forma moderna e segura.
💡 Você sabia que pode incluir a cláusula compromissória de arbitragem nos seus contratos?
Fale com a ACIRV e saiba mais!
#DireitoAlternativo #CâmaraDeArbitragem #RapidezNaJustiça #ACIRVeCAM</x:t>
        </x:is>
      </x:c>
    </x:row>
    <x:row r="134" s="39" customFormat="1" ht="124.05000305175781" customHeight="1">
      <x:c r="A134" s="80" t="n">
        <x:v>45884</x:v>
      </x:c>
      <x:c r="B134" s="70" t="inlineStr">
        <x:is>
          <x:t xml:space="preserve">2025-08</x:t>
        </x:is>
      </x:c>
      <x:c r="C134" s="76" t="n">
        <x:v>12</x:v>
      </x:c>
      <x:c r="D134" s="76" t="n">
        <x:v>855</x:v>
      </x:c>
      <x:c r="E134" s="76" t="n">
        <x:v>0</x:v>
      </x:c>
      <x:c r="F134" s="76" t="n">
        <x:v>747</x:v>
      </x:c>
      <x:c r="G134" s="76" t="n">
        <x:v>2</x:v>
      </x:c>
      <x:c r="H134" s="76" t="n">
        <x:v>22</x:v>
      </x:c>
      <x:c r="I134" s="76" t="n">
        <x:v>0</x:v>
      </x:c>
      <x:c r="J134" s="76" t="n">
        <x:v>21</x:v>
      </x:c>
      <x:c r="K134" s="76" t="n">
        <x:v>45</x:v>
      </x:c>
      <x:c r="L134" s="70" t="inlineStr">
        <x:is>
          <x:t xml:space="preserve">media/other/17962587800950907.jpg</x:t>
        </x:is>
      </x:c>
      <x:c r="M134" s="70" t="inlineStr">
        <x:is>
          <x:t xml:space="preserve">Boas notícias para os músicos! 🎶
O prazo de inscrições do Festival Barzinho e Violão, da ACIRV, foi estendido! 
E o melhor: você pode se inscrever e enviar seu vídeo talentoso logo no ato. Mostre seu som e alcance o palco. 
Inscrições na bio! 📲
#ACIRVfestival #ACIRVSudoexpo #BarzinhoEViolão #TalentoMusical</x:t>
        </x:is>
      </x:c>
    </x:row>
    <x:row r="135" s="39" customFormat="1" ht="165.0500030517578" customHeight="1">
      <x:c r="A135" s="80" t="n">
        <x:v>45882</x:v>
      </x:c>
      <x:c r="B135" s="70" t="inlineStr">
        <x:is>
          <x:t xml:space="preserve">2025-08</x:t>
        </x:is>
      </x:c>
      <x:c r="C135" s="76" t="n">
        <x:v>7</x:v>
      </x:c>
      <x:c r="D135" s="76" t="n">
        <x:v>868</x:v>
      </x:c>
      <x:c r="E135" s="76" t="n">
        <x:v>0</x:v>
      </x:c>
      <x:c r="F135" s="76" t="n">
        <x:v>743</x:v>
      </x:c>
      <x:c r="G135" s="76" t="n">
        <x:v>0</x:v>
      </x:c>
      <x:c r="H135" s="76" t="n">
        <x:v>46</x:v>
      </x:c>
      <x:c r="I135" s="76" t="n">
        <x:v>0</x:v>
      </x:c>
      <x:c r="J135" s="76" t="n">
        <x:v>0</x:v>
      </x:c>
      <x:c r="K135" s="76" t="n">
        <x:v>46</x:v>
      </x:c>
      <x:c r="L135" s="70" t="inlineStr">
        <x:is>
          <x:t xml:space="preserve">media/other/18074075183085353.jpg</x:t>
        </x:is>
      </x:c>
      <x:c r="M135" s="70" t="inlineStr">
        <x:is>
          <x:t xml:space="preserve">Nota de Pesar - Manifestamos profundo pesar pelo falecimento do Dr. Juraci Martins, ex-prefeito de Rio Verde, ocorrido na tarde desta quarta-feira. 
Sua trajetória como médico e gestor público deixou marcas significativas no desenvolvimento de nossa cidade, sempre pautada pelo compromisso com a comunidade e pela dedicação ao bem-estar da população.
Neste momento de dor, a ACIRV se solidariza com familiares, amigos e toda a população rio-verdense, reconhecendo e honrando a contribuição do Dr. Juraci para a história e o progresso de Rio Verde.
Que seu legado inspire futuras gerações a trabalhar com ética, respeito e amor pela nossa cidade.</x:t>
        </x:is>
      </x:c>
    </x:row>
    <x:row r="136" s="39" customFormat="1" ht="175.3000030517578" customHeight="1">
      <x:c r="A136" s="80" t="n">
        <x:v>45882</x:v>
      </x:c>
      <x:c r="B136" s="70" t="inlineStr">
        <x:is>
          <x:t xml:space="preserve">2025-08</x:t>
        </x:is>
      </x:c>
      <x:c r="C136" s="76" t="n">
        <x:v>2</x:v>
      </x:c>
      <x:c r="D136" s="76" t="n">
        <x:v>340</x:v>
      </x:c>
      <x:c r="E136" s="76" t="n">
        <x:v>0</x:v>
      </x:c>
      <x:c r="F136" s="76" t="n">
        <x:v>314</x:v>
      </x:c>
      <x:c r="G136" s="76" t="n">
        <x:v>1</x:v>
      </x:c>
      <x:c r="H136" s="76" t="n">
        <x:v>11</x:v>
      </x:c>
      <x:c r="I136" s="76" t="n">
        <x:v>1</x:v>
      </x:c>
      <x:c r="J136" s="76" t="n">
        <x:v>0</x:v>
      </x:c>
      <x:c r="K136" s="76" t="n">
        <x:v>13</x:v>
      </x:c>
      <x:c r="L136" s="70" t="inlineStr">
        <x:is>
          <x:t xml:space="preserve">media/other/17989672352832664.jpg</x:t>
        </x:is>
      </x:c>
      <x:c r="M136" s="70" t="inlineStr">
        <x:is>
          <x:t xml:space="preserve">✨ Oportunidades movem negócios!
A ACIJ está organizando um evento que promete transformar a maneira como você enxerga sua empresa — e a ACIRV tem orgulho de ajudar a espalhar essa iniciativa!
Um encontro feito para quem quer aprender, se conectar e crescer.
📌 Em Jataí, para toda a região!
📆 Data: 30/08/2025
📍 Local: auditório do Sesc Jataí
➡️ Em breve mais detalhes. Fique atento(a)!
#ACIRV #ACIJ #JataiEmpreende #DesenvolvimentoRegional #EventoEmpresarial</x:t>
        </x:is>
      </x:c>
    </x:row>
    <x:row r="137" s="39" customFormat="1" ht="216.25" customHeight="1">
      <x:c r="A137" s="80" t="n">
        <x:v>45881</x:v>
      </x:c>
      <x:c r="B137" s="70" t="inlineStr">
        <x:is>
          <x:t xml:space="preserve">2025-08</x:t>
        </x:is>
      </x:c>
      <x:c r="C137" s="76" t="n">
        <x:v>4</x:v>
      </x:c>
      <x:c r="D137" s="76" t="n">
        <x:v>433</x:v>
      </x:c>
      <x:c r="E137" s="76" t="n">
        <x:v>0</x:v>
      </x:c>
      <x:c r="F137" s="76" t="n">
        <x:v>371</x:v>
      </x:c>
      <x:c r="G137" s="76" t="n">
        <x:v>4</x:v>
      </x:c>
      <x:c r="H137" s="76" t="n">
        <x:v>15</x:v>
      </x:c>
      <x:c r="I137" s="76" t="n">
        <x:v>0</x:v>
      </x:c>
      <x:c r="J137" s="76" t="n">
        <x:v>8</x:v>
      </x:c>
      <x:c r="K137" s="76" t="n">
        <x:v>27</x:v>
      </x:c>
      <x:c r="L137" s="70" t="inlineStr">
        <x:is>
          <x:t xml:space="preserve">media/other/18076901531068155.jpg</x:t>
        </x:is>
      </x:c>
      <x:c r="M137" s="70" t="inlineStr">
        <x:is>
          <x:t xml:space="preserve">Você está pronto(a) para transformar a forma como se comunica e lidera? 🔊
Participe da Oficina "In Book: Comunicação e Liderança". Trata-se de um evento dinâmico e interativo em que você irá aprender, de forma prática e lúdica, conceitos e estratégias de gestão alinhados a metodologias atuais. 
🗓 Data: 19/08/25 (terça-feira)
🕖 Horário: às 19h
📍 Local: ACIRV — rua Dona Maricota, 199
Jardim Marconal - Rio Verde (GO)
O evento é gratuito. Mas para participar, é necessário se inscrever pelo link: https://beevent.sebraego.com.br/inscreva-se/173770115
Esperamos por você! 
#ACIRVoficinas #ACIRVeventos #ACIRVeSEBRAE #ComunicaçãoLiderança #RioVerde</x:t>
        </x:is>
      </x:c>
    </x:row>
    <x:row r="138" s="39" customFormat="1" ht="103.5999984741211" customHeight="1">
      <x:c r="A138" s="80" t="n">
        <x:v>45879</x:v>
      </x:c>
      <x:c r="B138" s="70" t="inlineStr">
        <x:is>
          <x:t xml:space="preserve">2025-08</x:t>
        </x:is>
      </x:c>
      <x:c r="C138" s="76" t="n">
        <x:v>2</x:v>
      </x:c>
      <x:c r="D138" s="76" t="n">
        <x:v>186</x:v>
      </x:c>
      <x:c r="E138" s="76" t="n">
        <x:v>0</x:v>
      </x:c>
      <x:c r="F138" s="76" t="n">
        <x:v>164</x:v>
      </x:c>
      <x:c r="G138" s="76" t="n">
        <x:v>0</x:v>
      </x:c>
      <x:c r="H138" s="76" t="n">
        <x:v>17</x:v>
      </x:c>
      <x:c r="I138" s="76" t="n">
        <x:v>2</x:v>
      </x:c>
      <x:c r="J138" s="76" t="n">
        <x:v>0</x:v>
      </x:c>
      <x:c r="K138" s="76" t="n">
        <x:v>19</x:v>
      </x:c>
      <x:c r="L138" s="70" t="inlineStr">
        <x:is>
          <x:t xml:space="preserve">media/other/18323052103233993.jpg</x:t>
        </x:is>
      </x:c>
      <x:c r="M138" s="70" t="inlineStr">
        <x:is>
          <x:t xml:space="preserve">FELIZ DIA DOS PAIS! 👔
Como nos negócios, também na vida, ser pai é investir tempo, amor e dedicação para colher os melhores frutos.
A ACIRV parabeniza todos os pais empreendedores de sonhos e construtores de futuros!
#ACIRVhomenagem #DiaDosPais #Empreendedorismo #Família 👨‍👧‍👦🧑🏿‍🍼</x:t>
        </x:is>
      </x:c>
    </x:row>
    <x:row r="139" s="39" customFormat="1" ht="216.25" customHeight="1">
      <x:c r="A139" s="80" t="n">
        <x:v>45877</x:v>
      </x:c>
      <x:c r="B139" s="70" t="inlineStr">
        <x:is>
          <x:t xml:space="preserve">2025-08</x:t>
        </x:is>
      </x:c>
      <x:c r="C139" s="76" t="n">
        <x:v>6</x:v>
      </x:c>
      <x:c r="D139" s="76" t="n">
        <x:v>624</x:v>
      </x:c>
      <x:c r="E139" s="76" t="n">
        <x:v>0</x:v>
      </x:c>
      <x:c r="F139" s="76" t="n">
        <x:v>552</x:v>
      </x:c>
      <x:c r="G139" s="76" t="n">
        <x:v>0</x:v>
      </x:c>
      <x:c r="H139" s="76" t="n">
        <x:v>23</x:v>
      </x:c>
      <x:c r="I139" s="76" t="n">
        <x:v>0</x:v>
      </x:c>
      <x:c r="J139" s="76" t="n">
        <x:v>3</x:v>
      </x:c>
      <x:c r="K139" s="76" t="n">
        <x:v>26</x:v>
      </x:c>
      <x:c r="L139" s="70" t="inlineStr">
        <x:is>
          <x:t xml:space="preserve">media/other/18036839141430059.jpg</x:t>
        </x:is>
      </x:c>
      <x:c r="M139" s="70" t="inlineStr">
        <x:is>
          <x:t xml:space="preserve">Presente há 20 anos no mercado, a FC Instalações Elétricas, encabeçada pelo sócio-proprietário Fernando Gomes Pereira, já chega atuante na lista de novos associados da ACIRV. 
É que o empresário já participou do seu primeiro Café de Negócios, ocorrido no último dia 29. "Foi muito importante ter ido ao nosso primeiro evento como associado. Fizemos a inscrição no Programa ALI e pretendemos colocar em prática o que nos for passado no decorrer do projeto", salientou ele, que já esteve em outras reuniões antes mesmo de firmar parceria com a ACIRV. 
Vale ressaltar que a empresa é responsável por realizar instalação e manutenção elétrica industrial, comercial e residencial, incluindo casas de alto padrão. 
Vem fazer parte do nosso time de associados você também, empresário rioverdense! 
#ACIRVassociados #ACIRVFCInstalaçõesElétricas #RioVerde 🫱🏻‍🫲🏾</x:t>
        </x:is>
      </x:c>
    </x:row>
    <x:row r="140" s="39" customFormat="1" ht="134.3000030517578" customHeight="1">
      <x:c r="A140" s="80" t="n">
        <x:v>45877</x:v>
      </x:c>
      <x:c r="B140" s="70" t="inlineStr">
        <x:is>
          <x:t xml:space="preserve">2025-08</x:t>
        </x:is>
      </x:c>
      <x:c r="C140" s="76" t="n">
        <x:v>0</x:v>
      </x:c>
      <x:c r="D140" s="76" t="n">
        <x:v>326</x:v>
      </x:c>
      <x:c r="E140" s="76" t="n">
        <x:v>0</x:v>
      </x:c>
      <x:c r="F140" s="76" t="n">
        <x:v>296</x:v>
      </x:c>
      <x:c r="G140" s="76" t="n">
        <x:v>1</x:v>
      </x:c>
      <x:c r="H140" s="76" t="n">
        <x:v>12</x:v>
      </x:c>
      <x:c r="I140" s="76" t="n">
        <x:v>0</x:v>
      </x:c>
      <x:c r="J140" s="76" t="n">
        <x:v>2</x:v>
      </x:c>
      <x:c r="K140" s="76" t="n">
        <x:v>15</x:v>
      </x:c>
      <x:c r="L140" s="70" t="inlineStr">
        <x:is>
          <x:t xml:space="preserve">media/other/18299803774218720.jpg</x:t>
        </x:is>
      </x:c>
      <x:c r="M140" s="70" t="inlineStr">
        <x:is>
          <x:t xml:space="preserve">🎤🌟 Microfones preparados, vozinhas afinadas e muita fofura no ar!
O Pirulito e Violão está com as inscrições A-BER-TAS!
Se sua criança vive cantando até no banho, chegou o momento de brilhar no palco!
👉 Inscrições até 1º de setembro, pelo link: https://shre.ink/festivalpirulitoeviolaoacirv
📍 Realização: ACIRV
🎶 Bora fazer parte desse espetáculo?
#FestivalPirulitoEViolão #VemCantar #CulturaInfantil #ACIRV</x:t>
        </x:is>
      </x:c>
    </x:row>
    <x:row r="141" s="39" customFormat="1" ht="328.8999938964844" customHeight="1">
      <x:c r="A141" s="80" t="n">
        <x:v>45875</x:v>
      </x:c>
      <x:c r="B141" s="70" t="inlineStr">
        <x:is>
          <x:t xml:space="preserve">2025-08</x:t>
        </x:is>
      </x:c>
      <x:c r="C141" s="76" t="n">
        <x:v>10</x:v>
      </x:c>
      <x:c r="D141" s="76" t="n">
        <x:v>1026</x:v>
      </x:c>
      <x:c r="E141" s="76" t="n">
        <x:v>1</x:v>
      </x:c>
      <x:c r="F141" s="76" t="n">
        <x:v>720</x:v>
      </x:c>
      <x:c r="G141" s="76" t="n">
        <x:v>0</x:v>
      </x:c>
      <x:c r="H141" s="76" t="n">
        <x:v>13</x:v>
      </x:c>
      <x:c r="I141" s="76" t="n">
        <x:v>2</x:v>
      </x:c>
      <x:c r="J141" s="76" t="n">
        <x:v>6</x:v>
      </x:c>
      <x:c r="K141" s="76" t="n">
        <x:v>21</x:v>
      </x:c>
      <x:c r="L141" s="70" t="inlineStr">
        <x:is>
          <x:t xml:space="preserve">media/other/18059220602075934.jpg</x:t>
        </x:is>
      </x:c>
      <x:c r="M141" s="70" t="inlineStr">
        <x:is>
          <x:t xml:space="preserve">🩺 CONVITE ESPECIAL - SAÚDE EMPREENDEDORA 
Você, empresário ou profissional da área da Saúde, é nosso convidado para um bate-papo imperdível sobre como transformar o CNPJ em um grande aliado da sua carreira e do seu negócio.
Data e Hora: 11/08/2025 – 19h
Local: Auditório da ACIRV 
Rua Dona Maricota, 199 - Jardim Marconal 
Rio Verde (GO)
Está na programação, uma palestra - ministrada por @andersonlimacontador, representante do @sebraegoias - sobre os benefícios legais, tributários e empresariais que podem impulsionar o crescimento de profissionais e empresas do segmento da Saúde, com orientações práticas e oportunidades para melhorar sua atuação no mercado.
Após a atividade, é prevista a formação de uma roda de conversa em que o contador de Saúde e advogado @miguel.bispo.neto irá se unir ao palestrante e, juntos, complementarão a temática reforçando ações importantes de formalização no setor. 
Participe e descubra como o empreendedorismo pode fortalecer ainda mais sua carreira!
INSCREVA-SE: https://beevent.sebraego.com.br/inscreva-se/174221066
#ACIRVeventos #ProfissionaisDaSaúde #RioVerde</x:t>
        </x:is>
      </x:c>
    </x:row>
    <x:row r="142" s="39" customFormat="1" ht="144.5500030517578" customHeight="1">
      <x:c r="A142" s="80" t="n">
        <x:v>45873</x:v>
      </x:c>
      <x:c r="B142" s="70" t="inlineStr">
        <x:is>
          <x:t xml:space="preserve">2025-08</x:t>
        </x:is>
      </x:c>
      <x:c r="C142" s="76" t="n">
        <x:v>5</x:v>
      </x:c>
      <x:c r="D142" s="76" t="n">
        <x:v>643</x:v>
      </x:c>
      <x:c r="E142" s="76" t="n">
        <x:v>0</x:v>
      </x:c>
      <x:c r="F142" s="76" t="n">
        <x:v>595</x:v>
      </x:c>
      <x:c r="G142" s="76" t="n">
        <x:v>0</x:v>
      </x:c>
      <x:c r="H142" s="76" t="n">
        <x:v>25</x:v>
      </x:c>
      <x:c r="I142" s="76" t="n">
        <x:v>2</x:v>
      </x:c>
      <x:c r="J142" s="76" t="n">
        <x:v>3</x:v>
      </x:c>
      <x:c r="K142" s="76" t="n">
        <x:v>30</x:v>
      </x:c>
      <x:c r="L142" s="70" t="inlineStr">
        <x:is>
          <x:t xml:space="preserve">media/other/18033898760694725.webp</x:t>
        </x:is>
      </x:c>
      <x:c r="M142" s="70" t="inlineStr">
        <x:is>
          <x:t xml:space="preserve">Há 14 anos no mercado, o novo associado da ACIRV Wesley Drinks (@wesleydrink3.8) apresenta serviços de organização de feiras, congressos, exposições e festas, como aniversários e casamentos.
O proprietário @wesley.erreira está otimista com a parceria da ACIRV. "Estamos com boas expectativas, pois integrar a minha empresa à associação vai transmitir credibilidade para os clientes, além de ser uma oportunidade para dar mais visibilidade, isso porque só é lembrado quem é visto", observou.
Seja você também nosso novo associado!
#ACIRVassociados #ACIRVeWesleyDrinks #RioVerde</x:t>
        </x:is>
      </x:c>
    </x:row>
    <x:row r="143" s="39" customFormat="1" ht="185.5" customHeight="1">
      <x:c r="A143" s="80" t="n">
        <x:v>45873</x:v>
      </x:c>
      <x:c r="B143" s="70" t="inlineStr">
        <x:is>
          <x:t xml:space="preserve">2025-08</x:t>
        </x:is>
      </x:c>
      <x:c r="C143" s="76" t="n">
        <x:v>275</x:v>
      </x:c>
      <x:c r="D143" s="76" t="n">
        <x:v>8136</x:v>
      </x:c>
      <x:c r="E143" s="76" t="n">
        <x:v>35</x:v>
      </x:c>
      <x:c r="F143" s="70" t="n"/>
      <x:c r="G143" s="76" t="n">
        <x:v>9</x:v>
      </x:c>
      <x:c r="H143" s="76" t="n">
        <x:v>44</x:v>
      </x:c>
      <x:c r="I143" s="76" t="n">
        <x:v>4</x:v>
      </x:c>
      <x:c r="J143" s="76" t="n">
        <x:v>24</x:v>
      </x:c>
      <x:c r="K143" s="76" t="n">
        <x:v>81</x:v>
      </x:c>
      <x:c r="L143" s="70" t="inlineStr">
        <x:is>
          <x:t xml:space="preserve">media/other/18367941760181226.jpg</x:t>
        </x:is>
      </x:c>
      <x:c r="M143" s="70" t="inlineStr">
        <x:is>
          <x:t xml:space="preserve">✨️ NÃO PERCA ESTA CHANCE DE BRILHAR!
O palco tá montado.
O violão afinado.
Só falta a sua voz.
O Festival Barzinho e Violão está com inscrições abertas até 15 de agosto! 🗓️
É o espaço perfeito pra quem quer dividir sua música com o mundo em um ambiente intimista, cheio de afeto e boa energia.
🎶 Bora transformar emoção em melodia?
Se inscreva já pelo link: https://shre.ink/festivalbarzinhoeviolaoacirv
#ACIRVFestivalBarzinhoeViolão #BarzinhoeViolão #RioVerde #NovosTalentosMusicais</x:t>
        </x:is>
      </x:c>
    </x:row>
    <x:row r="144" s="39" customFormat="1" ht="124.05000305175781" customHeight="1">
      <x:c r="A144" s="80" t="n">
        <x:v>45868</x:v>
      </x:c>
      <x:c r="B144" s="70" t="inlineStr">
        <x:is>
          <x:t xml:space="preserve">2025-07</x:t>
        </x:is>
      </x:c>
      <x:c r="C144" s="76" t="n">
        <x:v>5</x:v>
      </x:c>
      <x:c r="D144" s="76" t="n">
        <x:v>421</x:v>
      </x:c>
      <x:c r="E144" s="76" t="n">
        <x:v>0</x:v>
      </x:c>
      <x:c r="F144" s="76" t="n">
        <x:v>408</x:v>
      </x:c>
      <x:c r="G144" s="76" t="n">
        <x:v>1</x:v>
      </x:c>
      <x:c r="H144" s="76" t="n">
        <x:v>25</x:v>
      </x:c>
      <x:c r="I144" s="76" t="n">
        <x:v>0</x:v>
      </x:c>
      <x:c r="J144" s="76" t="n">
        <x:v>2</x:v>
      </x:c>
      <x:c r="K144" s="76" t="n">
        <x:v>28</x:v>
      </x:c>
      <x:c r="L144" s="70" t="inlineStr">
        <x:is>
          <x:t xml:space="preserve">media/other/18049726091204086.jpg</x:t>
        </x:is>
      </x:c>
      <x:c r="M144" s="70" t="inlineStr">
        <x:is>
          <x:t xml:space="preserve">Uma produtiva reunião foi realizada recentemente, com membros da ACIRV e representantes da OCB, cooperativa Comigo e Coop-Recicla, com o intuito de  discutir oportunidades ligadas ao crédito de carbono. 
"O encontro trouxe perspectivas promissoras de negócios sustentáveis, reforçando a importância da união entre cooperativismo e responsabilidade ambiental", destaca José Carlos Cintra. 
#ACIRVeResponsabilidadeSocial #ACIRVeCréditodeCarbono #RioVerde</x:t>
        </x:is>
      </x:c>
    </x:row>
    <x:row r="145" s="39" customFormat="1" ht="134.3000030517578" customHeight="1">
      <x:c r="A145" s="80" t="n">
        <x:v>45867</x:v>
      </x:c>
      <x:c r="B145" s="70" t="inlineStr">
        <x:is>
          <x:t xml:space="preserve">2025-07</x:t>
        </x:is>
      </x:c>
      <x:c r="C145" s="76" t="n">
        <x:v>7</x:v>
      </x:c>
      <x:c r="D145" s="76" t="n">
        <x:v>29541</x:v>
      </x:c>
      <x:c r="E145" s="76" t="n">
        <x:v>1</x:v>
      </x:c>
      <x:c r="F145" s="76" t="n">
        <x:v>27132</x:v>
      </x:c>
      <x:c r="G145" s="76" t="n">
        <x:v>0</x:v>
      </x:c>
      <x:c r="H145" s="76" t="n">
        <x:v>24</x:v>
      </x:c>
      <x:c r="I145" s="76" t="n">
        <x:v>1</x:v>
      </x:c>
      <x:c r="J145" s="76" t="n">
        <x:v>7</x:v>
      </x:c>
      <x:c r="K145" s="76" t="n">
        <x:v>32</x:v>
      </x:c>
      <x:c r="L145" s="70" t="inlineStr">
        <x:is>
          <x:t xml:space="preserve">media/other/18006236672619202.jpg</x:t>
        </x:is>
      </x:c>
      <x:c r="M145" s="70" t="inlineStr">
        <x:is>
          <x:t xml:space="preserve">🎶🌈 Pirulito, violão... e muita imaginação!
Chegou o momento das crianças brilharem no palco!
🎤 Estão abertas as inscrições para o Festival Pirulito e Violão, promovido com carinho pela ACIRV.
Se a sua criança ama música, o palco está chamando!
🎼 Bora fazer parte desse espetáculo?
💻 Inscreva-se agora pelo link: https://shre.ink/festivalpirulitoeviolaoacirv
#FestivalPirulitoeViolao #ACIRVeventos #ACIRVeSudoexpo</x:t>
        </x:is>
      </x:c>
    </x:row>
    <x:row r="146" s="39" customFormat="1" ht="154.8000030517578" customHeight="1">
      <x:c r="A146" s="80" t="n">
        <x:v>45866</x:v>
      </x:c>
      <x:c r="B146" s="70" t="inlineStr">
        <x:is>
          <x:t xml:space="preserve">2025-07</x:t>
        </x:is>
      </x:c>
      <x:c r="C146" s="76" t="n">
        <x:v>62</x:v>
      </x:c>
      <x:c r="D146" s="76" t="n">
        <x:v>7106</x:v>
      </x:c>
      <x:c r="E146" s="76" t="n">
        <x:v>3</x:v>
      </x:c>
      <x:c r="F146" s="70" t="n"/>
      <x:c r="G146" s="76" t="n">
        <x:v>2</x:v>
      </x:c>
      <x:c r="H146" s="76" t="n">
        <x:v>61</x:v>
      </x:c>
      <x:c r="I146" s="76" t="n">
        <x:v>6</x:v>
      </x:c>
      <x:c r="J146" s="76" t="n">
        <x:v>26</x:v>
      </x:c>
      <x:c r="K146" s="76" t="n">
        <x:v>95</x:v>
      </x:c>
      <x:c r="L146" s="70" t="inlineStr">
        <x:is>
          <x:t xml:space="preserve">media/other/18066623266907394.jpg</x:t>
        </x:is>
      </x:c>
      <x:c r="M146" s="70" t="inlineStr">
        <x:is>
          <x:t xml:space="preserve">🎵 Já imaginou você cantando para uma plateia cheia, com luzes e aplausos?
👉 Então responde aí:
Você tem uma voz que emociona?
Toca aquele violão que arrepia?
Tem um duo ou toca solo?
As inscrições para o Festival Barzinho e Violão estão abertas!
Mostre seu talento e represente a nossa cidade no palco 🎙️
🔗 Inscreva-se agora: LINK NA BIO! 
https://shre.ink/festivalbarzinhoeviolaoacirv
#BarzinhoEViolão2025 #ACIRV #MúsicaLocal #VemProFestival</x:t>
        </x:is>
      </x:c>
    </x:row>
    <x:row r="147" s="39" customFormat="1" ht="226.5" customHeight="1">
      <x:c r="A147" s="80" t="n">
        <x:v>45863</x:v>
      </x:c>
      <x:c r="B147" s="70" t="inlineStr">
        <x:is>
          <x:t xml:space="preserve">2025-07</x:t>
        </x:is>
      </x:c>
      <x:c r="C147" s="76" t="n">
        <x:v>2</x:v>
      </x:c>
      <x:c r="D147" s="76" t="n">
        <x:v>1351</x:v>
      </x:c>
      <x:c r="E147" s="76" t="n">
        <x:v>3</x:v>
      </x:c>
      <x:c r="F147" s="76" t="n">
        <x:v>1159</x:v>
      </x:c>
      <x:c r="G147" s="76" t="n">
        <x:v>3</x:v>
      </x:c>
      <x:c r="H147" s="76" t="n">
        <x:v>46</x:v>
      </x:c>
      <x:c r="I147" s="76" t="n">
        <x:v>2</x:v>
      </x:c>
      <x:c r="J147" s="76" t="n">
        <x:v>2</x:v>
      </x:c>
      <x:c r="K147" s="76" t="n">
        <x:v>53</x:v>
      </x:c>
      <x:c r="L147" s="70" t="inlineStr">
        <x:is>
          <x:t xml:space="preserve">media/other/18093855835712308.webp</x:t>
        </x:is>
      </x:c>
      <x:c r="M147" s="70" t="inlineStr">
        <x:is>
          <x:t xml:space="preserve">"A educação é a base para o desenvolvimento pessoal e, consequentemente, de
 toda comunidade. Diante disso, as forças empresariais promovem o crescimento, e o nosso papel, como empresa educacional, é de servir proporcionando aprendizado. A ACIRV já faz parte da nossa história, pois além de abrir portas também auxilia no relacionamento com outras instituições", comenta o mais novo associado @altemiro_neto.
A nova empresa parceira da ACIRV é a YPY Educacional Centro-Oeste (@ypyeducacionalcentrooeste). Trata-se de uma escola direcionada para quem pretende concluir os ensinos Fundamental e Médio, em modelo à distância. Além disso, o instituto oferece mais de 40 cursos técnicos, sendo o carro-chefe o de Transações Imobiliárias. Provas de títulos também podem ser realizadas, de acordo com o grau de conhecimento do aluno.
Não perca tempo, seja também nosso associado! 
#ACIRVassociados #ACIRVparceria #ACIRVe YPYEducacionalCentroOeste #RioVerde</x:t>
        </x:is>
      </x:c>
    </x:row>
    <x:row r="148" s="39" customFormat="1" ht="175.3000030517578" customHeight="1">
      <x:c r="A148" s="80" t="n">
        <x:v>45860</x:v>
      </x:c>
      <x:c r="B148" s="70" t="inlineStr">
        <x:is>
          <x:t xml:space="preserve">2025-07</x:t>
        </x:is>
      </x:c>
      <x:c r="C148" s="76" t="n">
        <x:v>1</x:v>
      </x:c>
      <x:c r="D148" s="76" t="n">
        <x:v>431</x:v>
      </x:c>
      <x:c r="E148" s="76" t="n">
        <x:v>1</x:v>
      </x:c>
      <x:c r="F148" s="76" t="n">
        <x:v>386</x:v>
      </x:c>
      <x:c r="G148" s="76" t="n">
        <x:v>0</x:v>
      </x:c>
      <x:c r="H148" s="76" t="n">
        <x:v>25</x:v>
      </x:c>
      <x:c r="I148" s="76" t="n">
        <x:v>2</x:v>
      </x:c>
      <x:c r="J148" s="76" t="n">
        <x:v>0</x:v>
      </x:c>
      <x:c r="K148" s="76" t="n">
        <x:v>27</x:v>
      </x:c>
      <x:c r="L148" s="70" t="inlineStr">
        <x:is>
          <x:t xml:space="preserve">media/other/18091621033638203.webp</x:t>
        </x:is>
      </x:c>
      <x:c r="M148" s="70" t="inlineStr">
        <x:is>
          <x:t xml:space="preserve">Está em busca de algum tipo de seguro? O novo associado da ACIRV, a Seguralta Rio Verde (@seguralta.rioverde) pode ajudar! A empresa, que está em atividade há 15 anos, oferece serviços de seguros de automóveis, de vida, empresarial e residencial, além de consórcios.
"A dificuldade de empreender no Brasil é grande nos dias de hoje. Mas com união da classe empresarial e a representatividade da  ACIRV, podemos nos fortalecer. E isso nos permite oferecer serviços para uma sociedade cada vez melhor", observa o sócio-proprietário @abilionato. 
Ainda não é um associado ACIRV? Fale com o nosso time e conheça os benefícios! 
#ACIRVassociados #ACIRVparceria #ACIRVeSeguraltaRioVerde #RioVerde</x:t>
        </x:is>
      </x:c>
    </x:row>
    <x:row r="149" s="39" customFormat="1" ht="165.0500030517578" customHeight="1">
      <x:c r="A149" s="80" t="n">
        <x:v>45854</x:v>
      </x:c>
      <x:c r="B149" s="70" t="inlineStr">
        <x:is>
          <x:t xml:space="preserve">2025-07</x:t>
        </x:is>
      </x:c>
      <x:c r="C149" s="76" t="n">
        <x:v>9</x:v>
      </x:c>
      <x:c r="D149" s="76" t="n">
        <x:v>1143</x:v>
      </x:c>
      <x:c r="E149" s="76" t="n">
        <x:v>0</x:v>
      </x:c>
      <x:c r="F149" s="76" t="n">
        <x:v>1078</x:v>
      </x:c>
      <x:c r="G149" s="76" t="n">
        <x:v>1</x:v>
      </x:c>
      <x:c r="H149" s="76" t="n">
        <x:v>33</x:v>
      </x:c>
      <x:c r="I149" s="76" t="n">
        <x:v>4</x:v>
      </x:c>
      <x:c r="J149" s="76" t="n">
        <x:v>1</x:v>
      </x:c>
      <x:c r="K149" s="76" t="n">
        <x:v>39</x:v>
      </x:c>
      <x:c r="L149" s="70" t="inlineStr">
        <x:is>
          <x:t xml:space="preserve">media/other/17872553043391775.webp</x:t>
        </x:is>
      </x:c>
      <x:c r="M149" s="70" t="inlineStr">
        <x:is>
          <x:t xml:space="preserve">A ACIRV dá boas-vindas para mais um associado! Dessa vez, quem entra no nosso quadro é a Jeomaq Telas Prado (@jeomaqrv), que está no mercado desde 2017, na cidade de Rio Verde. A empresa, liderada por Jorge Luiz Rosa do Prado, tem em seu portfólio a venda de telas, alambrados, postes, bloquetes, cocho para confinamento e bebedouro entre outros serviços.
A administradora @elaineluiza.silvaprado está animada com a nova parceria. "A ACIRV tem muito destaque e nome no mercado. Por conta disso, vai nos auxiliar no crescimento da empresa. Além do networking, que é muito importante, também temos acesso à capacitação para aprimorar a oferta de nossos serviços aos clientes", disse ela.
#ACIRVassociados #ACIRVparceria #ACIRVeJeomaq #RioVerde</x:t>
        </x:is>
      </x:c>
    </x:row>
    <x:row r="150" s="39" customFormat="1" ht="113.8499984741211" customHeight="1">
      <x:c r="A150" s="80" t="n">
        <x:v>45854</x:v>
      </x:c>
      <x:c r="B150" s="70" t="inlineStr">
        <x:is>
          <x:t xml:space="preserve">2025-07</x:t>
        </x:is>
      </x:c>
      <x:c r="C150" s="76" t="n">
        <x:v>2</x:v>
      </x:c>
      <x:c r="D150" s="76" t="n">
        <x:v>782</x:v>
      </x:c>
      <x:c r="E150" s="76" t="n">
        <x:v>0</x:v>
      </x:c>
      <x:c r="F150" s="76" t="n">
        <x:v>651</x:v>
      </x:c>
      <x:c r="G150" s="76" t="n">
        <x:v>0</x:v>
      </x:c>
      <x:c r="H150" s="76" t="n">
        <x:v>14</x:v>
      </x:c>
      <x:c r="I150" s="76" t="n">
        <x:v>0</x:v>
      </x:c>
      <x:c r="J150" s="76" t="n">
        <x:v>3</x:v>
      </x:c>
      <x:c r="K150" s="76" t="n">
        <x:v>17</x:v>
      </x:c>
      <x:c r="L150" s="70" t="inlineStr">
        <x:is>
          <x:t xml:space="preserve">media/other/18045529847270168.webp</x:t>
        </x:is>
      </x:c>
      <x:c r="M150" s="70" t="inlineStr">
        <x:is>
          <x:t xml:space="preserve">A ACIRV possui um auditório moderno e uma sala para treinamentos e reuniões disponíveis para o seu evento! 
Os espaços são equipados com multimí­dia, som, bebedouro e ar condicionado. O auditório tem capacidade para 120 pessoas sentadas e a sala de treinamentos e reuniões comporta até 30 visitantes. 
E o melhor: nossos associados pagam preços diferenciados!
#ACIRVeventos #ACIRVserviços 🧑🏾‍💻✍🏻</x:t>
        </x:is>
      </x:c>
    </x:row>
    <x:row r="151" s="39" customFormat="1" ht="144.5500030517578" customHeight="1">
      <x:c r="A151" s="80" t="n">
        <x:v>45853</x:v>
      </x:c>
      <x:c r="B151" s="70" t="inlineStr">
        <x:is>
          <x:t xml:space="preserve">2025-07</x:t>
        </x:is>
      </x:c>
      <x:c r="C151" s="76" t="n">
        <x:v>2</x:v>
      </x:c>
      <x:c r="D151" s="76" t="n">
        <x:v>468</x:v>
      </x:c>
      <x:c r="E151" s="76" t="n">
        <x:v>0</x:v>
      </x:c>
      <x:c r="F151" s="76" t="n">
        <x:v>434</x:v>
      </x:c>
      <x:c r="G151" s="76" t="n">
        <x:v>0</x:v>
      </x:c>
      <x:c r="H151" s="76" t="n">
        <x:v>15</x:v>
      </x:c>
      <x:c r="I151" s="76" t="n">
        <x:v>0</x:v>
      </x:c>
      <x:c r="J151" s="76" t="n">
        <x:v>1</x:v>
      </x:c>
      <x:c r="K151" s="76" t="n">
        <x:v>16</x:v>
      </x:c>
      <x:c r="L151" s="70" t="inlineStr">
        <x:is>
          <x:t xml:space="preserve">media/other/18115341883498004.webp</x:t>
        </x:is>
      </x:c>
      <x:c r="M151" s="70" t="inlineStr">
        <x:is>
          <x:t xml:space="preserve">Pensando no crescimento acelerado da cidade de Rio Verde, a ACIRV está sempre lançando novos projetos. Com a missão de impulsionar o desenvolvimento social, polí­tico e econômico da região, além de representar os interesses da classe empresarial em todos as esferas institucionais. 
As empresas ganham força através da união, sempre buscando ideais e resultados de interesses em comum. 
Tudo isso, pensando em você, empresário! Assim como no crescimento da sua empresa. Conheça nossos serviços e seja um associado.
#ACIRVassociados #ACIRVinstitucional 🤵🏼🤵🏽‍♀️</x:t>
        </x:is>
      </x:c>
    </x:row>
    <x:row r="152" s="39" customFormat="1" ht="154.8000030517578" customHeight="1">
      <x:c r="A152" s="80" t="n">
        <x:v>45852</x:v>
      </x:c>
      <x:c r="B152" s="70" t="inlineStr">
        <x:is>
          <x:t xml:space="preserve">2025-07</x:t>
        </x:is>
      </x:c>
      <x:c r="C152" s="76" t="n">
        <x:v>4</x:v>
      </x:c>
      <x:c r="D152" s="76" t="n">
        <x:v>1347</x:v>
      </x:c>
      <x:c r="E152" s="76" t="n">
        <x:v>1</x:v>
      </x:c>
      <x:c r="F152" s="76" t="n">
        <x:v>1168</x:v>
      </x:c>
      <x:c r="G152" s="76" t="n">
        <x:v>0</x:v>
      </x:c>
      <x:c r="H152" s="76" t="n">
        <x:v>45</x:v>
      </x:c>
      <x:c r="I152" s="76" t="n">
        <x:v>0</x:v>
      </x:c>
      <x:c r="J152" s="76" t="n">
        <x:v>4</x:v>
      </x:c>
      <x:c r="K152" s="76" t="n">
        <x:v>49</x:v>
      </x:c>
      <x:c r="L152" s="70" t="inlineStr">
        <x:is>
          <x:t xml:space="preserve">media/other/17918079897106329.jpg</x:t>
        </x:is>
      </x:c>
      <x:c r="M152" s="70" t="inlineStr">
        <x:is>
          <x:t xml:space="preserve">Recebemos hoje mais uma grande empresa como associada: a Codepa Engenharia (@codeparioverde ), representada por Everton Eduardo Kochhann. A empresa é referência em projetos e construção civil em Rio Verde.
Acreditamos que conexões fortalecem negócios — e é com entusiasmo que damos as boas-vindas à Codepa à nossa rede de empreendedores que fazem a diferença na cidade.
Que essa parceria seja marcada por crescimento mútuo e novas oportunidades!
#ACIRV #NovosAssociados #ConstruçãoCivil #CodepaEngenharia #Empreendedorismo #ForçaEmpresarial #RioVerde</x:t>
        </x:is>
      </x:c>
    </x:row>
    <x:row r="153" s="39" customFormat="1" ht="103.5999984741211" customHeight="1">
      <x:c r="A153" s="80" t="n">
        <x:v>45839</x:v>
      </x:c>
      <x:c r="B153" s="70" t="inlineStr">
        <x:is>
          <x:t xml:space="preserve">2025-07</x:t>
        </x:is>
      </x:c>
      <x:c r="C153" s="76" t="n">
        <x:v>5</x:v>
      </x:c>
      <x:c r="D153" s="76" t="n">
        <x:v>1073</x:v>
      </x:c>
      <x:c r="E153" s="76" t="n">
        <x:v>0</x:v>
      </x:c>
      <x:c r="F153" s="76" t="n">
        <x:v>893</x:v>
      </x:c>
      <x:c r="G153" s="76" t="n">
        <x:v>1</x:v>
      </x:c>
      <x:c r="H153" s="76" t="n">
        <x:v>44</x:v>
      </x:c>
      <x:c r="I153" s="76" t="n">
        <x:v>1</x:v>
      </x:c>
      <x:c r="J153" s="76" t="n">
        <x:v>0</x:v>
      </x:c>
      <x:c r="K153" s="76" t="n">
        <x:v>46</x:v>
      </x:c>
      <x:c r="L153" s="70" t="inlineStr">
        <x:is>
          <x:t xml:space="preserve">media/other/18062567639468203.jpg</x:t>
        </x:is>
      </x:c>
      <x:c r="M153" s="70" t="inlineStr">
        <x:is>
          <x:t xml:space="preserve">O presidente da ACIRV, José Carlos Cintra e os vice-presidentes Wenya Alecrim e Cássio Iplinsky participaram nesta segunda-feira (30/06) de uma entrevista com o Costa Filho na Rádio Morada do Sol.  Em entrevista o atual presidente e diretores da recém empossada diretoria triênio 2025/2028, retrataram suas expectativas e projetos para a gestão nos próximos anos, garantindo compromisso com os associados e a classe empresarial de Rio Verde-GO e região.🤝🚀
#acirv#associações #compromiso</x:t>
        </x:is>
      </x:c>
    </x:row>
    <x:row r="154" s="39" customFormat="1" ht="216.25" customHeight="1">
      <x:c r="A154" s="80" t="n">
        <x:v>45839</x:v>
      </x:c>
      <x:c r="B154" s="70" t="inlineStr">
        <x:is>
          <x:t xml:space="preserve">2025-07</x:t>
        </x:is>
      </x:c>
      <x:c r="C154" s="76" t="n">
        <x:v>4</x:v>
      </x:c>
      <x:c r="D154" s="76" t="n">
        <x:v>752</x:v>
      </x:c>
      <x:c r="E154" s="76" t="n">
        <x:v>0</x:v>
      </x:c>
      <x:c r="F154" s="76" t="n">
        <x:v>678</x:v>
      </x:c>
      <x:c r="G154" s="76" t="n">
        <x:v>0</x:v>
      </x:c>
      <x:c r="H154" s="76" t="n">
        <x:v>23</x:v>
      </x:c>
      <x:c r="I154" s="76" t="n">
        <x:v>1</x:v>
      </x:c>
      <x:c r="J154" s="76" t="n">
        <x:v>2</x:v>
      </x:c>
      <x:c r="K154" s="76" t="n">
        <x:v>26</x:v>
      </x:c>
      <x:c r="L154" s="70" t="inlineStr">
        <x:is>
          <x:t xml:space="preserve">media/other/17950408295868244.webp</x:t>
        </x:is>
      </x:c>
      <x:c r="M154" s="70" t="inlineStr">
        <x:is>
          <x:t xml:space="preserve">EM JATAÍ, PRESIDENTE DA ACIRV JOSÉ CARLOS CINTRA MARCA PRESENÇA EM ENCONTRO REGIONAL DA FACIEG 
Promovido pela Federação das Associações Comerciais, Industriais e Agropecuárias do Estado de Goiás (FACIEG) no Hotel Thermas Bonsucesso, o evento reuniu importantes lideranças da região para discutir estratégias e ações voltadas ao fortalecimento do setor produtivo goiano.
Representando a ACIRV no Encontro, o presidente José Carlos Cintra cumprimentou o Presidente Márcio Luiz e a FACIEG pelo trabalho que vem realizando em benefício dos associados e da classe empresarial. Reafirmou também o compromisso de Rio Verde com o desenvolvimento econômico regional. Acompanharam o presidente José Carlos o vice-presidente de Comércio, Gustavo Lacerda e o Diretor Consultivo, Eduardo Lobo. 
Na imagem: (Gustavo Lacerda, José Carlos Cintra, Márcio Luís (presidente da FACIEG), Wanessa Cruvinel (presidente da ACIJ) e Eduardo Lobo)</x:t>
        </x:is>
      </x:c>
    </x:row>
    <x:row r="155" s="39" customFormat="1" ht="410.79998779296875" customHeight="1">
      <x:c r="A155" s="80" t="n">
        <x:v>45838</x:v>
      </x:c>
      <x:c r="B155" s="70" t="inlineStr">
        <x:is>
          <x:t xml:space="preserve">2025-06</x:t>
        </x:is>
      </x:c>
      <x:c r="C155" s="76" t="n">
        <x:v>9</x:v>
      </x:c>
      <x:c r="D155" s="76" t="n">
        <x:v>677</x:v>
      </x:c>
      <x:c r="E155" s="76" t="n">
        <x:v>0</x:v>
      </x:c>
      <x:c r="F155" s="76" t="n">
        <x:v>604</x:v>
      </x:c>
      <x:c r="G155" s="76" t="n">
        <x:v>1</x:v>
      </x:c>
      <x:c r="H155" s="76" t="n">
        <x:v>46</x:v>
      </x:c>
      <x:c r="I155" s="76" t="n">
        <x:v>1</x:v>
      </x:c>
      <x:c r="J155" s="76" t="n">
        <x:v>6</x:v>
      </x:c>
      <x:c r="K155" s="76" t="n">
        <x:v>54</x:v>
      </x:c>
      <x:c r="L155" s="70" t="inlineStr">
        <x:is>
          <x:t xml:space="preserve">media/other/18118477798479192.webp</x:t>
        </x:is>
      </x:c>
      <x:c r="M155" s="70" t="inlineStr">
        <x:is>
          <x:t xml:space="preserve">CONFIRA AGORA QUEM SÃO OS MEMBROS QUE COMPÕEM A NOVA DIRETORIA DA ACIRV – GESTÃO 2025 / 2028 
Empossada na noite da última sexta-feira (27), a nova Diretoria da Associação Comercial, Industrial e Serviços de Rio Verde é composta pelos seguintes membros: 
Presidente – José Carlos Cintra 
Vice-presidente de Comércio - Gustavo Ribeiro Lacerda Santos
Vice-presidente de Indústria – Cássio Bellintani Iplinski
Vice-presidente de Prestação de Serviços – Wenya Alves Alecrim 
Vice-presidente de Patrimônio – Marcos Humberto de Jesus Ribeiro 
Vice-presidente de Micro e Pequenas Empresas – Raphael Moraes Valongo
Vice-presidente de Agronegócios – Oswaldo Abud Rocha Filho
1º Diretor Administrativo – Luciano Martins Ribeiro 
 2º Diretor Administrativo – Marcelo Ferreira de Oliveira
1º Diretor Financeiro – Diego Modolo Ribeiro
2º Diretor Financeiro – Kenya Souza Leite
Diretor de Feiras e Eventos – Carlos Augusto Rego de Moraes
Diretor Social – Edney Arakaki
Diretor de Relações Públicas – Adria da Silva Rocha
Diretor Jurídico – Ana Paula Cabral Barbosa Andrade
Diretor ACIRV Jovem – Fernando Pereira Barbosa
Diretor Consultivo – Eduardo do Prado Lobo 
Diretor de Aprimoramento Profissional – Jackcely Gouveia do Carmo 
Diretor de Assuntos Filantrópicos – Suely Aparecida Turra Molero
Diretor de Assuntos Institucionais – Carlos Alberto Leão Barros
 Diretor de Assuntos Econômicos – Rodrigo Santos Silva
Diretor de Assuntos Contábeis – Sidenilso Filgueira dos Santos
Conselho Fiscal – Edson Alves da Silva 
Conselho Fiscal – Danilo Borges Vieira Garcia 
Conselho Fiscal – Ivo Marques de Moraes Júnior
Suplente do Conselho Fiscal – Ailton Nogueira da Silva 
Suplente do Conselho Fiscal – Fabio Matheus Salomão 
Suplente do Conselho Fiscal – Murilo Borges Vieira Garcia</x:t>
        </x:is>
      </x:c>
    </x:row>
    <x:row r="156" s="39" customFormat="1" ht="246.9499969482422" customHeight="1">
      <x:c r="A156" s="80" t="n">
        <x:v>45835</x:v>
      </x:c>
      <x:c r="B156" s="70" t="inlineStr">
        <x:is>
          <x:t xml:space="preserve">2025-06</x:t>
        </x:is>
      </x:c>
      <x:c r="C156" s="76" t="n">
        <x:v>2</x:v>
      </x:c>
      <x:c r="D156" s="76" t="n">
        <x:v>1022</x:v>
      </x:c>
      <x:c r="E156" s="76" t="n">
        <x:v>1</x:v>
      </x:c>
      <x:c r="F156" s="76" t="n">
        <x:v>948</x:v>
      </x:c>
      <x:c r="G156" s="76" t="n">
        <x:v>0</x:v>
      </x:c>
      <x:c r="H156" s="76" t="n">
        <x:v>32</x:v>
      </x:c>
      <x:c r="I156" s="76" t="n">
        <x:v>2</x:v>
      </x:c>
      <x:c r="J156" s="76" t="n">
        <x:v>0</x:v>
      </x:c>
      <x:c r="K156" s="76" t="n">
        <x:v>34</x:v>
      </x:c>
      <x:c r="L156" s="70" t="inlineStr">
        <x:is>
          <x:t xml:space="preserve">media/other/17930033556064826.webp</x:t>
        </x:is>
      </x:c>
      <x:c r="M156" s="70" t="inlineStr">
        <x:is>
          <x:t xml:space="preserve">DIRETORES RAPHAEL VALONGO E GUSTAVO LACERDA REPRESENTAM ACIRV EM EVENTO DA ASSOCIAÇÃO DOS ENGENHEIROS CIVIS DE RIO VERDE
Recém fundada, a Associação dos Engenheiros Civis de Rio Verde já começa sua trajetória com ações de grande relevância para a categoria, como essa palestra sobre o uso da Inteligência Artificial (IA) na engenharia civil. A AECRV tem como presidente o engenheiro Cássio Horbilon.
Representaram a ACIRV no evento vice-presidente de Micro e Pequena Empresa, Raphael Valongo e o Diretor Gustavo Ribeiro Lacerda.
A AECRV
A Associação dos Engenheiros Civis de Rio Verde - AECRV foi fundada com o objetivo de fortalecer a classe dos profissionais de Engenharia Civil de Rio Verde e região, promovendo capacitação técnica, palestras e criar parcerias, visando principalmente a melhoria da engenharia local.
(Na foto, da esquerda para a direita: Raphael, Gustavo e o engenheiro Marquinhos)</x:t>
        </x:is>
      </x:c>
    </x:row>
    <x:row r="157" s="39" customFormat="1" ht="298.1499938964844" customHeight="1">
      <x:c r="A157" s="80" t="n">
        <x:v>45835</x:v>
      </x:c>
      <x:c r="B157" s="70" t="inlineStr">
        <x:is>
          <x:t xml:space="preserve">2025-06</x:t>
        </x:is>
      </x:c>
      <x:c r="C157" s="76" t="n">
        <x:v>0</x:v>
      </x:c>
      <x:c r="D157" s="76" t="n">
        <x:v>803</x:v>
      </x:c>
      <x:c r="E157" s="76" t="n">
        <x:v>0</x:v>
      </x:c>
      <x:c r="F157" s="76" t="n">
        <x:v>751</x:v>
      </x:c>
      <x:c r="G157" s="76" t="n">
        <x:v>1</x:v>
      </x:c>
      <x:c r="H157" s="76" t="n">
        <x:v>32</x:v>
      </x:c>
      <x:c r="I157" s="76" t="n">
        <x:v>0</x:v>
      </x:c>
      <x:c r="J157" s="76" t="n">
        <x:v>0</x:v>
      </x:c>
      <x:c r="K157" s="76" t="n">
        <x:v>33</x:v>
      </x:c>
      <x:c r="L157" s="70" t="inlineStr">
        <x:is>
          <x:t xml:space="preserve">media/other/18049758899526412.webp</x:t>
        </x:is>
      </x:c>
      <x:c r="M157" s="70" t="inlineStr">
        <x:is>
          <x:t xml:space="preserve">EM ASSEMBLEIA DA FACIEG, PRESIDENTE EDUARDO LOBO ENALTECE O PAPEL DA FEDERAÇÃO NO APOIO À CLASSE EMPRESARIAL DO ESTADO 
Promovida pela Federação das Associações Comerciais, Industriais, Empresariais e Agropecuárias do Estado de Goiás (FACIEG) e realizada no auditório do Sebrae, em Goiânia, a segunda Assembleia da Rede em 2025 reuniu mais de 60 associações comerciais de todas as regiões do estado. Evento demonstrou, mais uma vez, a força, o poder de mobilização e a capilaridade da FACIEG.
Representaram a ACIRV na Assembleia, o presidente Eduardo Lobo, que também é vice-presidente da FACIEG e o próximo gestor da Associação, José Carlos Cintra, que enalteceram a força e o poder de representatividade da Federação. 
“Nós, como dirigentes de Associação, sabemos a importância que é termos o apoio da FACIEG, tanto em nossas iniciativas, como também no fortalecimento e aprimoramento dos serviços aos nossos associados. Parabéns ao presidente Márcio Luiz, aos demais diretores e aos colaboradores pela preocupação em ajudar e por essa aproximação que tanto tem beneficiado às nossas Associações”, frisou Eduardo Lobo. 
Durante a Assembleia, foram debatidos diversos assuntos de interesse das Associações, como a programação de eventos para o ano de 2025 e a ampliação da rede de benefícios oferecida pela FACIEG aos associados.</x:t>
        </x:is>
      </x:c>
    </x:row>
    <x:row r="158" s="39" customFormat="1" ht="83.0999984741211" customHeight="1">
      <x:c r="A158" s="80" t="n">
        <x:v>45834</x:v>
      </x:c>
      <x:c r="B158" s="70" t="inlineStr">
        <x:is>
          <x:t xml:space="preserve">2025-06</x:t>
        </x:is>
      </x:c>
      <x:c r="C158" s="76" t="n">
        <x:v>0</x:v>
      </x:c>
      <x:c r="D158" s="76" t="n">
        <x:v>466</x:v>
      </x:c>
      <x:c r="E158" s="76" t="n">
        <x:v>0</x:v>
      </x:c>
      <x:c r="F158" s="76" t="n">
        <x:v>431</x:v>
      </x:c>
      <x:c r="G158" s="76" t="n">
        <x:v>1</x:v>
      </x:c>
      <x:c r="H158" s="76" t="n">
        <x:v>12</x:v>
      </x:c>
      <x:c r="I158" s="76" t="n">
        <x:v>2</x:v>
      </x:c>
      <x:c r="J158" s="76" t="n">
        <x:v>0</x:v>
      </x:c>
      <x:c r="K158" s="76" t="n">
        <x:v>15</x:v>
      </x:c>
      <x:c r="L158" s="70" t="inlineStr">
        <x:is>
          <x:t xml:space="preserve">media/other/18000394148792131.webp</x:t>
        </x:is>
      </x:c>
      <x:c r="M158" s="70" t="inlineStr">
        <x:is>
          <x:t xml:space="preserve">NOSSOS SINCEROS AGRADECIMENTOS AO MÁRIO DUARTE NETO e ao seu Jornal “Nosso Bairro, Nossa Cidade”, que estampou na capa da última edição de seu periódico uma manchete destacando pontos importantes da Gestão comandada pelo presidente Eduardo Lobo, e que colocou a ACIRV em destaque em Goiás e até no País. MUITO OBRIGADO MÁRIO NETO E AO "NOSSO BAIRRO, NOSSA CIDADE"! 🙌👏✨</x:t>
        </x:is>
      </x:c>
    </x:row>
    <x:row r="159" s="39" customFormat="1" ht="165.0500030517578" customHeight="1">
      <x:c r="A159" s="80" t="n">
        <x:v>45831</x:v>
      </x:c>
      <x:c r="B159" s="70" t="inlineStr">
        <x:is>
          <x:t xml:space="preserve">2025-06</x:t>
        </x:is>
      </x:c>
      <x:c r="C159" s="76" t="n">
        <x:v>7</x:v>
      </x:c>
      <x:c r="D159" s="76" t="n">
        <x:v>804</x:v>
      </x:c>
      <x:c r="E159" s="76" t="n">
        <x:v>3</x:v>
      </x:c>
      <x:c r="F159" s="76" t="n">
        <x:v>726</x:v>
      </x:c>
      <x:c r="G159" s="76" t="n">
        <x:v>0</x:v>
      </x:c>
      <x:c r="H159" s="76" t="n">
        <x:v>38</x:v>
      </x:c>
      <x:c r="I159" s="76" t="n">
        <x:v>2</x:v>
      </x:c>
      <x:c r="J159" s="76" t="n">
        <x:v>0</x:v>
      </x:c>
      <x:c r="K159" s="76" t="n">
        <x:v>40</x:v>
      </x:c>
      <x:c r="L159" s="70" t="inlineStr">
        <x:is>
          <x:t xml:space="preserve">media/other/18080142919842465.webp</x:t>
        </x:is>
      </x:c>
      <x:c r="M159" s="70" t="inlineStr">
        <x:is>
          <x:t xml:space="preserve">QUER VER SUA EMPRESA DESLANCHAR E GERAR OS RESULTADOS QUE VOCÊ DESEJA? Então fale agora com o Luiz Henrique Albuquerque, aqui ao lado da nossa Rakilândia Medeiros. O Luiz é proprietário da i9 AGENCY MARKETING, uma agência de Marketing Digital, que atua com foco em resultados reais, criatividade e estratégia. A i9 oferece soluções completas, como Criação de conteúdo, gestão de redes sociais, consultoria em marketing, tráfego pago, SEO e tudo o que sua empresa precisa para crescer no marketing digital. Com uma equipe especializada em diversas áreas do marketing, a agência se destaca por sua proximidade com o cliente e por criar estratégias personalizadas que conectam marcas e pessoas. Quer saber mais? O fone é o 64 99294-9999, Site www.i9agencymarketing.com - Instagram: @i9agencymarketing.  PARABÉNS E SEJA MUITO BEM-VINDA À ACIRV, i9 AGENCY MARKETING! 👏👏</x:t>
        </x:is>
      </x:c>
    </x:row>
    <x:row r="160" s="39" customFormat="1" ht="165.0500030517578" customHeight="1">
      <x:c r="A160" s="80" t="n">
        <x:v>45826</x:v>
      </x:c>
      <x:c r="B160" s="70" t="inlineStr">
        <x:is>
          <x:t xml:space="preserve">2025-06</x:t>
        </x:is>
      </x:c>
      <x:c r="C160" s="76" t="n">
        <x:v>3</x:v>
      </x:c>
      <x:c r="D160" s="76" t="n">
        <x:v>1613</x:v>
      </x:c>
      <x:c r="E160" s="76" t="n">
        <x:v>1</x:v>
      </x:c>
      <x:c r="F160" s="76" t="n">
        <x:v>1392</x:v>
      </x:c>
      <x:c r="G160" s="76" t="n">
        <x:v>0</x:v>
      </x:c>
      <x:c r="H160" s="76" t="n">
        <x:v>54</x:v>
      </x:c>
      <x:c r="I160" s="76" t="n">
        <x:v>0</x:v>
      </x:c>
      <x:c r="J160" s="76" t="n">
        <x:v>2</x:v>
      </x:c>
      <x:c r="K160" s="76" t="n">
        <x:v>56</x:v>
      </x:c>
      <x:c r="L160" s="70" t="inlineStr">
        <x:is>
          <x:t xml:space="preserve">media/other/17922384140985023.webp</x:t>
        </x:is>
      </x:c>
      <x:c r="M160" s="70" t="inlineStr">
        <x:is>
          <x:t xml:space="preserve">SABE AQUELE DESEJO DE DAR UMA NOVA VIDA AOS SEUS AMBIENTES? A resposta pode estar nas cores certas! E agora, com a chegada da nossa nova associada, a IMPÉRIO TINTAS, ficou ainda mais fácil transformar seus ambientes, trazendo modernidade, aconchego e personalidade para cada espaço. “Mais do que vender tintas, nosso foco é oferecer soluções completas em cores, proteção e beleza, garantindo resultados duradouros e visualmente marcantes”, explica o empresário Maurício Ebeling, ao lado da nossa Rakilândia Medeiros e de seu sócio, Neivo Sumny. Confiança, qualidade e um atendimento de excelência fizeram da IMPÉRIO TINTAS uma marca reconhecida e respeitada em toda a região. A loja fica na Rua 119, Qd. 18, Lt. 1-A, Jardim Presidente, próximo à Rodoviária e à Havan. Contato: (64) 9 9208-8275. 👉 Instagram: @imperiotintasrv PARABÉNS E SEJA MUITO BEM-VINDA À ACIRV, IMPÉRIO TINTAS! 👏👏</x:t>
        </x:is>
      </x:c>
    </x:row>
    <x:row r="161" s="39" customFormat="1" ht="154.8000030517578" customHeight="1">
      <x:c r="A161" s="80" t="n">
        <x:v>45825</x:v>
      </x:c>
      <x:c r="B161" s="70" t="inlineStr">
        <x:is>
          <x:t xml:space="preserve">2025-06</x:t>
        </x:is>
      </x:c>
      <x:c r="C161" s="76" t="n">
        <x:v>0</x:v>
      </x:c>
      <x:c r="D161" s="76" t="n">
        <x:v>820</x:v>
      </x:c>
      <x:c r="E161" s="76" t="n">
        <x:v>0</x:v>
      </x:c>
      <x:c r="F161" s="76" t="n">
        <x:v>747</x:v>
      </x:c>
      <x:c r="G161" s="76" t="n">
        <x:v>0</x:v>
      </x:c>
      <x:c r="H161" s="76" t="n">
        <x:v>29</x:v>
      </x:c>
      <x:c r="I161" s="76" t="n">
        <x:v>1</x:v>
      </x:c>
      <x:c r="J161" s="76" t="n">
        <x:v>1</x:v>
      </x:c>
      <x:c r="K161" s="76" t="n">
        <x:v>31</x:v>
      </x:c>
      <x:c r="L161" s="70" t="inlineStr">
        <x:is>
          <x:t xml:space="preserve">media/other/18131171554382485.webp</x:t>
        </x:is>
      </x:c>
      <x:c r="M161" s="70" t="inlineStr">
        <x:is>
          <x:t xml:space="preserve">ESTÁ PRECISANDO DE UMA ASSESSORIA JURÍDICA ESPECIALIZADA? HORA então de falar com a nossa nova Associada, a MICHALCZYK ADVOCACIA, que conta com os advogados Lúcia Michalczyk (aqui ao lado da nossa Rakilândia Medeiros) e João Michalczyk. A MICHALCZYK ADVOCACIA destaca-se pela expertise jurídica, atendimento humanizado e soluções estratégicas para defender seus direitos. Atua nas áreas Trabalhista, Previdenciária, Causas Cíveis-Inventários, Divórcios, Dissolução e ou Reconhecimento de União Estável, Alimentos e Guarda, Cobranças, Contratos e Consultorias. Sempre, com um olhar atento às necessidades individuais de cada cliente. Quer saber mais? O escritório da MICHALCZYK ADVOCACIA fica na Rua 01, Qd 02, Lt 11, Vila Verde. Fones 64 984147376 e o 64 984147375. PARABÉNS, E SEJA BEM-VINDA À ACIRV, MICHALCZYK ADVOCACIA!!! 👏👏</x:t>
        </x:is>
      </x:c>
    </x:row>
    <x:row r="162" s="39" customFormat="1" ht="15" customHeight="1">
      <x:c r="A162" s="80" t="n">
        <x:v>45820</x:v>
      </x:c>
      <x:c r="B162" s="70" t="inlineStr">
        <x:is>
          <x:t xml:space="preserve">2025-06</x:t>
        </x:is>
      </x:c>
      <x:c r="C162" s="76" t="n">
        <x:v>2</x:v>
      </x:c>
      <x:c r="D162" s="76" t="n">
        <x:v>381</x:v>
      </x:c>
      <x:c r="E162" s="76" t="n">
        <x:v>0</x:v>
      </x:c>
      <x:c r="F162" s="76" t="n">
        <x:v>369</x:v>
      </x:c>
      <x:c r="G162" s="76" t="n">
        <x:v>0</x:v>
      </x:c>
      <x:c r="H162" s="76" t="n">
        <x:v>6</x:v>
      </x:c>
      <x:c r="I162" s="76" t="n">
        <x:v>0</x:v>
      </x:c>
      <x:c r="J162" s="76" t="n">
        <x:v>2</x:v>
      </x:c>
      <x:c r="K162" s="76" t="n">
        <x:v>8</x:v>
      </x:c>
      <x:c r="L162" s="70" t="inlineStr">
        <x:is>
          <x:t xml:space="preserve">media/other/18105843256463157.webp</x:t>
        </x:is>
      </x:c>
      <x:c r="M162" s="70" t="n"/>
    </x:row>
    <x:row r="163" s="39" customFormat="1" ht="339.1499938964844" customHeight="1">
      <x:c r="A163" s="80" t="n">
        <x:v>45819</x:v>
      </x:c>
      <x:c r="B163" s="70" t="inlineStr">
        <x:is>
          <x:t xml:space="preserve">2025-06</x:t>
        </x:is>
      </x:c>
      <x:c r="C163" s="76" t="n">
        <x:v>7</x:v>
      </x:c>
      <x:c r="D163" s="76" t="n">
        <x:v>2840</x:v>
      </x:c>
      <x:c r="E163" s="76" t="n">
        <x:v>4</x:v>
      </x:c>
      <x:c r="F163" s="76" t="n">
        <x:v>2719</x:v>
      </x:c>
      <x:c r="G163" s="76" t="n">
        <x:v>3</x:v>
      </x:c>
      <x:c r="H163" s="76" t="n">
        <x:v>57</x:v>
      </x:c>
      <x:c r="I163" s="76" t="n">
        <x:v>0</x:v>
      </x:c>
      <x:c r="J163" s="76" t="n">
        <x:v>1</x:v>
      </x:c>
      <x:c r="K163" s="76" t="n">
        <x:v>61</x:v>
      </x:c>
      <x:c r="L163" s="70" t="inlineStr">
        <x:is>
          <x:t xml:space="preserve">media/other/18095292547521886.webp</x:t>
        </x:is>
      </x:c>
      <x:c r="M163" s="70" t="inlineStr">
        <x:is>
          <x:t xml:space="preserve">VICE-PRESIDENTE JOSÉ CARLOS CINTRA REPRESENTA ACIRV EM HOMENAGEM DA FIEG, SESI E SENAI AO RIO-VERDENSE ANTONIO DE SOUZA ALMEIDA
A homenagem aconteceu na tarde desta terça-feira (10). A unidade, recém-ampliada com investimento de R$ 30 milhões, a partir de agora passa a levar o nome do saudoso empresário rio-verdense, que se destacou pelo compromisso com a responsabilidade social em Goiás, especialmente à frente do Conselho Temático de Responsabilidade Social (Cores) da FIEG.
A Escola Sesi de Rio Verde passa agora a se chamar “ANTONIO DE SOUZA ALMEIDA”. 
A solenidade contou com a presença da viúva do homenageado, Uilma Rodrigues Almeida, dos filhos Leandro Rodrigues Almeida e Dennia Almeida e diversas lideranças locais. 
Durante a cerimônia, o presidente da FIEG, André Rocha destacou o legado do empresário: "É visível que Antônio deixou marcas profundas em Rio Verde e em Goiás, como um homem honrado, que gerou trabalho, renda e oportunidades. É uma honra para a FIEG reconhecer esse legado e associá-lo a uma das melhores escolas do nosso estado", afirmou.
Representando a ACIRV, José Carlos Cintra elogiou a Federação pela iniciativa: “A FIEG está de parabéns pela homenagem. O Antônio foi um empresário visionário, que contribuiu muito com o desenvolvimento do nosso estado e que agora tem seu nome registrado para sempre na história de Rio Verde e Goiás”.
(Na foto: José Carlos Cintra, Ângelo Landim, André Rocha, Evaristo Baraúna e Eitor).</x:t>
        </x:is>
      </x:c>
    </x:row>
    <x:row r="164" s="39" customFormat="1" ht="154.8000030517578" customHeight="1">
      <x:c r="A164" s="80" t="n">
        <x:v>45818</x:v>
      </x:c>
      <x:c r="B164" s="70" t="inlineStr">
        <x:is>
          <x:t xml:space="preserve">2025-06</x:t>
        </x:is>
      </x:c>
      <x:c r="C164" s="76" t="n">
        <x:v>1</x:v>
      </x:c>
      <x:c r="D164" s="76" t="n">
        <x:v>621</x:v>
      </x:c>
      <x:c r="E164" s="76" t="n">
        <x:v>0</x:v>
      </x:c>
      <x:c r="F164" s="76" t="n">
        <x:v>465</x:v>
      </x:c>
      <x:c r="G164" s="76" t="n">
        <x:v>0</x:v>
      </x:c>
      <x:c r="H164" s="76" t="n">
        <x:v>12</x:v>
      </x:c>
      <x:c r="I164" s="76" t="n">
        <x:v>0</x:v>
      </x:c>
      <x:c r="J164" s="76" t="n">
        <x:v>1</x:v>
      </x:c>
      <x:c r="K164" s="76" t="n">
        <x:v>13</x:v>
      </x:c>
      <x:c r="L164" s="70" t="inlineStr">
        <x:is>
          <x:t xml:space="preserve">media/other/18058041515219851.webp</x:t>
        </x:is>
      </x:c>
      <x:c r="M164" s="70" t="inlineStr">
        <x:is>
          <x:t xml:space="preserve">🔹 ATENÇÃO!!! Estão abertas as inscrições para o 2º Congresso Regional da Mulher Empreendedora.
Nos dias 24 e 25 de junho, o evento reunirá palestras, mesas-redondas e lideranças femininas de destaque, promovendo troca de experiências, fortalecimento de redes e incentivo ao empreendedorismo feminino no sudoeste goiano.
📌 As inscrições para as atividades e toda programação estão disponíveis no link na bio do perfil @acirvmulher. Garanta sua vaga e participe desse movimento de transformação. 
 Link para inscrição: 
https://drive.google.com/file/d/1LR0JjEEhH5P5wxZaITrWdSMpzChuA7yk/view</x:t>
        </x:is>
      </x:c>
    </x:row>
    <x:row r="165" s="39" customFormat="1" ht="72.8499984741211" customHeight="1">
      <x:c r="A165" s="80" t="n">
        <x:v>45818</x:v>
      </x:c>
      <x:c r="B165" s="70" t="inlineStr">
        <x:is>
          <x:t xml:space="preserve">2025-06</x:t>
        </x:is>
      </x:c>
      <x:c r="C165" s="76" t="n">
        <x:v>1</x:v>
      </x:c>
      <x:c r="D165" s="76" t="n">
        <x:v>369</x:v>
      </x:c>
      <x:c r="E165" s="76" t="n">
        <x:v>0</x:v>
      </x:c>
      <x:c r="F165" s="76" t="n">
        <x:v>308</x:v>
      </x:c>
      <x:c r="G165" s="76" t="n">
        <x:v>0</x:v>
      </x:c>
      <x:c r="H165" s="76" t="n">
        <x:v>1</x:v>
      </x:c>
      <x:c r="I165" s="76" t="n">
        <x:v>0</x:v>
      </x:c>
      <x:c r="J165" s="76" t="n">
        <x:v>0</x:v>
      </x:c>
      <x:c r="K165" s="76" t="n">
        <x:v>1</x:v>
      </x:c>
      <x:c r="L165" s="70" t="inlineStr">
        <x:is>
          <x:t xml:space="preserve">media/other/17936379846018042.webp</x:t>
        </x:is>
      </x:c>
      <x:c r="M165" s="70" t="inlineStr">
        <x:is>
          <x:t xml:space="preserve">AINDA NÃO FEZ SEU CERTIFICADO DIGITAL??? ENTÃO CORRA! Na ACIRV você conta com toda segurança e suporte, tanto PRESENCIAL como ON-LINE, e com DESCONTOS PRA LÁ DE ESPECIAIS para nossos Associados! Fale agora mesmo com a NAIARA CANOSSA no 64–99233 2708 ou pelo Zap 64 - 3620 0199 e garanta já o seu. CERTIFICADO DIGITAL, É NA ACIRV!!! 😃👏👊</x:t>
        </x:is>
      </x:c>
    </x:row>
    <x:row r="166" s="39" customFormat="1" ht="15" customHeight="1">
      <x:c r="A166" s="80" t="n">
        <x:v>45817</x:v>
      </x:c>
      <x:c r="B166" s="70" t="inlineStr">
        <x:is>
          <x:t xml:space="preserve">2025-06</x:t>
        </x:is>
      </x:c>
      <x:c r="C166" s="76" t="n">
        <x:v>4</x:v>
      </x:c>
      <x:c r="D166" s="76" t="n">
        <x:v>3565</x:v>
      </x:c>
      <x:c r="E166" s="76" t="n">
        <x:v>6</x:v>
      </x:c>
      <x:c r="F166" s="76" t="n">
        <x:v>2800</x:v>
      </x:c>
      <x:c r="G166" s="76" t="n">
        <x:v>0</x:v>
      </x:c>
      <x:c r="H166" s="76" t="n">
        <x:v>51</x:v>
      </x:c>
      <x:c r="I166" s="76" t="n">
        <x:v>3</x:v>
      </x:c>
      <x:c r="J166" s="76" t="n">
        <x:v>22</x:v>
      </x:c>
      <x:c r="K166" s="76" t="n">
        <x:v>76</x:v>
      </x:c>
      <x:c r="L166" s="70" t="n"/>
      <x:c r="M166" s="70" t="n"/>
    </x:row>
    <x:row r="167" s="39" customFormat="1" ht="185.5" customHeight="1">
      <x:c r="A167" s="80" t="n">
        <x:v>45817</x:v>
      </x:c>
      <x:c r="B167" s="70" t="inlineStr">
        <x:is>
          <x:t xml:space="preserve">2025-06</x:t>
        </x:is>
      </x:c>
      <x:c r="C167" s="76" t="n">
        <x:v>2</x:v>
      </x:c>
      <x:c r="D167" s="76" t="n">
        <x:v>825</x:v>
      </x:c>
      <x:c r="E167" s="76" t="n">
        <x:v>1</x:v>
      </x:c>
      <x:c r="F167" s="76" t="n">
        <x:v>709</x:v>
      </x:c>
      <x:c r="G167" s="76" t="n">
        <x:v>1</x:v>
      </x:c>
      <x:c r="H167" s="76" t="n">
        <x:v>16</x:v>
      </x:c>
      <x:c r="I167" s="76" t="n">
        <x:v>0</x:v>
      </x:c>
      <x:c r="J167" s="76" t="n">
        <x:v>0</x:v>
      </x:c>
      <x:c r="K167" s="76" t="n">
        <x:v>17</x:v>
      </x:c>
      <x:c r="L167" s="70" t="inlineStr">
        <x:is>
          <x:t xml:space="preserve">media/other/18125978095454045.webp</x:t>
        </x:is>
      </x:c>
      <x:c r="M167" s="70" t="inlineStr">
        <x:is>
          <x:t xml:space="preserve">"PACTO GOIANO PELO FIM DA VIOLÊNCIA CONTRA A MULHER" - A Diretora de Assuntos Institucionais da ACIRV, Suely Turra Molero, tem participado ativamente das reuniões e ações do Pacto, representando a Associação em eventos e debates sobre o tema.
Na última reunião, realizada no Centro de Convivência e Apoio ao Idoso de Rio Verde (Conviver), Suely Turra ratificou mais uma vez a disposição da ACIRV para contribuir com o referido Pacto, o qual visa garantir o atendimento às mulheres que sofrem com situações de violência.
Para tanto, a entidade oferece todo apoio para a entrada ou retorno delas ao mercado de trabalho por meio do Emprega ACIRV, oferece cursos de qualificação e também espaço para a realização de palestras, dentre outras iniciativas, colaborando assim para a construção de uma sociedade mais justa e igualitária para as mulheres.</x:t>
        </x:is>
      </x:c>
    </x:row>
    <x:row r="168" s="39" customFormat="1" ht="206" customHeight="1">
      <x:c r="A168" s="80" t="n">
        <x:v>45814</x:v>
      </x:c>
      <x:c r="B168" s="70" t="inlineStr">
        <x:is>
          <x:t xml:space="preserve">2025-06</x:t>
        </x:is>
      </x:c>
      <x:c r="C168" s="76" t="n">
        <x:v>1</x:v>
      </x:c>
      <x:c r="D168" s="76" t="n">
        <x:v>580</x:v>
      </x:c>
      <x:c r="E168" s="76" t="n">
        <x:v>0</x:v>
      </x:c>
      <x:c r="F168" s="76" t="n">
        <x:v>556</x:v>
      </x:c>
      <x:c r="G168" s="76" t="n">
        <x:v>0</x:v>
      </x:c>
      <x:c r="H168" s="76" t="n">
        <x:v>22</x:v>
      </x:c>
      <x:c r="I168" s="76" t="n">
        <x:v>0</x:v>
      </x:c>
      <x:c r="J168" s="76" t="n">
        <x:v>0</x:v>
      </x:c>
      <x:c r="K168" s="76" t="n">
        <x:v>22</x:v>
      </x:c>
      <x:c r="L168" s="70" t="inlineStr">
        <x:is>
          <x:t xml:space="preserve">media/other/18011395739570567.webp</x:t>
        </x:is>
      </x:c>
      <x:c r="M168" s="70" t="inlineStr">
        <x:is>
          <x:t xml:space="preserve">EM ENTREVISTA À TV SUCESSO / BAND RIO VERDE, o atual presidente da ACIRV, Eduardo Lobo, juntamente com o próximo presidente, José Carlos Cintra, falaram sobre essa mudança que acontecerá na direção da Associação a partir do dia 27 de junho. 
Na entrevista, Eduardo Lobo destacou várias iniciativas de sua gestão, como o Café Entre Amigos, que possibilita a conexão entre os empresários associados, a criação dos núcleos ACIRV Mulher, Emprega ACIRV, Câmara Setorial de Saúde e o CONECTA ACIRV, dentre outras.
Espaço também para o próximo presidente, José Carlos Cintra, discorrer sobre suas ideias para incrementar as atividades da Associação, aproximando-a ainda mais da classe empresarial, contribuindo assim para o desenvolvimento econômico e social, tanto dos empresários, como também do município de Rio Verde.
Lá, foram recebidos pela vice-presidente da TV Sucesso Band, Ester Rocha, que também é Diretora da ACIRV. ✨✈️🛩️</x:t>
        </x:is>
      </x:c>
    </x:row>
    <x:row r="169" s="39" customFormat="1" ht="144.5500030517578" customHeight="1">
      <x:c r="A169" s="80" t="n">
        <x:v>45814</x:v>
      </x:c>
      <x:c r="B169" s="70" t="inlineStr">
        <x:is>
          <x:t xml:space="preserve">2025-06</x:t>
        </x:is>
      </x:c>
      <x:c r="C169" s="76" t="n">
        <x:v>5</x:v>
      </x:c>
      <x:c r="D169" s="76" t="n">
        <x:v>645</x:v>
      </x:c>
      <x:c r="E169" s="76" t="n">
        <x:v>0</x:v>
      </x:c>
      <x:c r="F169" s="76" t="n">
        <x:v>620</x:v>
      </x:c>
      <x:c r="G169" s="76" t="n">
        <x:v>0</x:v>
      </x:c>
      <x:c r="H169" s="76" t="n">
        <x:v>26</x:v>
      </x:c>
      <x:c r="I169" s="76" t="n">
        <x:v>0</x:v>
      </x:c>
      <x:c r="J169" s="76" t="n">
        <x:v>8</x:v>
      </x:c>
      <x:c r="K169" s="76" t="n">
        <x:v>34</x:v>
      </x:c>
      <x:c r="L169" s="70" t="inlineStr">
        <x:is>
          <x:t xml:space="preserve">media/other/18031924079413212.webp</x:t>
        </x:is>
      </x:c>
      <x:c r="M169" s="70" t="inlineStr">
        <x:is>
          <x:t xml:space="preserve">EM VISITA À TV ANHANGUERA, o próximo presidente da ACIRV, José Carlos Cintra buscou ratificar a parceria da entidade com a tradicional emissora de TV de Rio Verde, a qual muito tem ajudado na divulgação das ações da Associação. 
Conforme explicou, a ideia é fortalecer essa ligação com todos os meios de comunicação locais, como rádios, Tvs, jornais e demais órgãos de imprensa. 
Lá, José Carlos Cintra, que assumirá a presidência da ACIRV em 27 de junho próximo, foi recebido pelo Gerente da Regional de Rio Verde, Jéferson Prospero, pelo Gerente de Jornalismo, Taffareu Tarcísio e pelos executivos comerciais Marco e Kamila Muniz. VEM MAIS COISA BOA POR AÍ!! ✨✨ 🚀🌟</x:t>
        </x:is>
      </x:c>
    </x:row>
    <x:row r="170" s="39" customFormat="1" ht="83.0999984741211" customHeight="1">
      <x:c r="A170" s="80" t="n">
        <x:v>45812</x:v>
      </x:c>
      <x:c r="B170" s="70" t="inlineStr">
        <x:is>
          <x:t xml:space="preserve">2025-06</x:t>
        </x:is>
      </x:c>
      <x:c r="C170" s="76" t="n">
        <x:v>0</x:v>
      </x:c>
      <x:c r="D170" s="76" t="n">
        <x:v>798</x:v>
      </x:c>
      <x:c r="E170" s="76" t="n">
        <x:v>0</x:v>
      </x:c>
      <x:c r="F170" s="76" t="n">
        <x:v>675</x:v>
      </x:c>
      <x:c r="G170" s="76" t="n">
        <x:v>0</x:v>
      </x:c>
      <x:c r="H170" s="76" t="n">
        <x:v>8</x:v>
      </x:c>
      <x:c r="I170" s="76" t="n">
        <x:v>0</x:v>
      </x:c>
      <x:c r="J170" s="76" t="n">
        <x:v>3</x:v>
      </x:c>
      <x:c r="K170" s="76" t="n">
        <x:v>11</x:v>
      </x:c>
      <x:c r="L170" s="70" t="inlineStr">
        <x:is>
          <x:t xml:space="preserve">media/other/17873172438264374.webp</x:t>
        </x:is>
      </x:c>
      <x:c r="M170" s="70" t="inlineStr">
        <x:is>
          <x:t xml:space="preserve">ATENÇÃO: Amanhã, 05 de junho teremos a Assembleia Geral Ordinária da ACIRV. Após, teremos a palestra “QUAIS SÃO OS INIMIGOS DA NOSSA FELICIDADE?”, com o conferencista JÚLIO CÉSAR, um dos10 melhores palestrantes do Brasil. Teremos também um delicioso café da manhã por nossa conta. MAS ATENÇÃO!!! As vagas são limitadas! Confirme já sua presença no http://doity.com.br/assembleia-acirv-e-palestra-. Mais informações: 64 3620 0199. ✨✨ 🚀🌟</x:t>
        </x:is>
      </x:c>
    </x:row>
    <x:row r="171" s="39" customFormat="1" ht="62.650001525878906" customHeight="1">
      <x:c r="A171" s="80" t="n">
        <x:v>45811</x:v>
      </x:c>
      <x:c r="B171" s="70" t="inlineStr">
        <x:is>
          <x:t xml:space="preserve">2025-06</x:t>
        </x:is>
      </x:c>
      <x:c r="C171" s="76" t="n">
        <x:v>5</x:v>
      </x:c>
      <x:c r="D171" s="76" t="n">
        <x:v>1229</x:v>
      </x:c>
      <x:c r="E171" s="76" t="n">
        <x:v>1</x:v>
      </x:c>
      <x:c r="F171" s="76" t="n">
        <x:v>940</x:v>
      </x:c>
      <x:c r="G171" s="76" t="n">
        <x:v>3</x:v>
      </x:c>
      <x:c r="H171" s="76" t="n">
        <x:v>19</x:v>
      </x:c>
      <x:c r="I171" s="76" t="n">
        <x:v>0</x:v>
      </x:c>
      <x:c r="J171" s="76" t="n">
        <x:v>11</x:v>
      </x:c>
      <x:c r="K171" s="76" t="n">
        <x:v>33</x:v>
      </x:c>
      <x:c r="L171" s="70" t="inlineStr">
        <x:is>
          <x:t xml:space="preserve">media/other/18060622181337081.webp</x:t>
        </x:is>
      </x:c>
      <x:c r="M171" s="70" t="inlineStr">
        <x:is>
          <x:t xml:space="preserve">APRESENTAMOS O PROJETO PILOTO da plataforma de Recrutamento e Seleção, desenvolvido em parceria com a MULT PROFISSÕES, com o objetivo de oferecer às empresas associadas da ACIRV uma solução inovadora, eficiente e personalizada para Recrutamento e Seleção de pessoal. Mais informações e Inscrição: 64 99292 2633. PARTICIPE!</x:t>
        </x:is>
      </x:c>
    </x:row>
    <x:row r="172" s="39" customFormat="1" ht="165.0500030517578" customHeight="1">
      <x:c r="A172" s="80" t="n">
        <x:v>45810</x:v>
      </x:c>
      <x:c r="B172" s="70" t="inlineStr">
        <x:is>
          <x:t xml:space="preserve">2025-06</x:t>
        </x:is>
      </x:c>
      <x:c r="C172" s="76" t="n">
        <x:v>1</x:v>
      </x:c>
      <x:c r="D172" s="76" t="n">
        <x:v>1615</x:v>
      </x:c>
      <x:c r="E172" s="76" t="n">
        <x:v>2</x:v>
      </x:c>
      <x:c r="F172" s="76" t="n">
        <x:v>1412</x:v>
      </x:c>
      <x:c r="G172" s="76" t="n">
        <x:v>0</x:v>
      </x:c>
      <x:c r="H172" s="76" t="n">
        <x:v>49</x:v>
      </x:c>
      <x:c r="I172" s="76" t="n">
        <x:v>13</x:v>
      </x:c>
      <x:c r="J172" s="76" t="n">
        <x:v>1</x:v>
      </x:c>
      <x:c r="K172" s="76" t="n">
        <x:v>63</x:v>
      </x:c>
      <x:c r="L172" s="70" t="inlineStr">
        <x:is>
          <x:t xml:space="preserve">media/other/18042380927549761.webp</x:t>
        </x:is>
      </x:c>
      <x:c r="M172" s="70" t="inlineStr">
        <x:is>
          <x:t xml:space="preserve">E AÍ, VOCÊ TAMBÉM GOSTA DAS “COISAS” DO SUL E NÃO SABE ONDE ENCONTRAR?? NÃO se preocupe! Com a chegada do nosso novo Associado, o EMPÓRIO TCHÊ RIO VERDE, você vai poder degustar os melhores salames, geleias, chocolates e vinhos da serra gaúcha. Vai encontrar também àquela erva fresquinha e tudo o mais para o seu chimarrão, ou aquele fantástico queijo colonial, direto de Treze Tílias! Quem garante é a sócia proprietária do EMPÓRIO, a Fabiane Martins (aqui ao lado da nossa Rakilândia Medeiros), que destaca: “O EMPÓRIO TCHÊ nasceu para trazer um pouquinho do Sul para a nossa Rio Verde”. O EMPÓRIO trabalha também com as mais belas cestas corporativas ou para presentear quem você estima. A loja fica no Setor Morada do Sol e o whatsapp é o 64 992776117. Confere lá! https://www.instagram.com/emporiotcherv/. PARABÉNS, E SEJA BEM-VINDO A À ACIRV, EMPÓRIO TCHÊ RIO VERDE!!! 👏👏</x:t>
        </x:is>
      </x:c>
    </x:row>
    <x:row r="173" s="39" customFormat="1" ht="103.5999984741211" customHeight="1">
      <x:c r="A173" s="80" t="n">
        <x:v>45807</x:v>
      </x:c>
      <x:c r="B173" s="70" t="inlineStr">
        <x:is>
          <x:t xml:space="preserve">2025-05</x:t>
        </x:is>
      </x:c>
      <x:c r="C173" s="76" t="n">
        <x:v>5</x:v>
      </x:c>
      <x:c r="D173" s="76" t="n">
        <x:v>1437</x:v>
      </x:c>
      <x:c r="E173" s="76" t="n">
        <x:v>3</x:v>
      </x:c>
      <x:c r="F173" s="76" t="n">
        <x:v>975</x:v>
      </x:c>
      <x:c r="G173" s="76" t="n">
        <x:v>1</x:v>
      </x:c>
      <x:c r="H173" s="76" t="n">
        <x:v>24</x:v>
      </x:c>
      <x:c r="I173" s="76" t="n">
        <x:v>0</x:v>
      </x:c>
      <x:c r="J173" s="76" t="n">
        <x:v>44</x:v>
      </x:c>
      <x:c r="K173" s="76" t="n">
        <x:v>69</x:v>
      </x:c>
      <x:c r="L173" s="70" t="inlineStr">
        <x:is>
          <x:t xml:space="preserve">media/other/18065714954012504.webp</x:t>
        </x:is>
      </x:c>
      <x:c r="M173" s="70" t="inlineStr">
        <x:is>
          <x:t xml:space="preserve">ATENÇÃO: Dia 05 de junho teremos a Assembleia Geral Ordinária da Associação Comercial, Industrial e Serviços de Rio Verde (ACIRV). Logo após, teremos a apresentação da palestra “QUAIS SÃO OS INIMIGOS DA NOSSA FELICIDADE?”, com o Instrutor e conferencista JÚLIO CÉSAR, considerado, hoje, um dos10 melhores palestrantes do Brasil. Teremos também um delicioso café da manhã por nossa conta. MAS ATENÇÃO!!! As vagas são limitadas! Confirme já sua presença no http://doity.com.br/assembleia-acirv-e-palestra-. Mais informações: 64 3620 0199. ✨✨ 🚀🌟</x:t>
        </x:is>
      </x:c>
    </x:row>
    <x:row r="174" s="39" customFormat="1" ht="15" customHeight="1">
      <x:c r="A174" s="80" t="n">
        <x:v>45805</x:v>
      </x:c>
      <x:c r="B174" s="70" t="inlineStr">
        <x:is>
          <x:t xml:space="preserve">2025-05</x:t>
        </x:is>
      </x:c>
      <x:c r="C174" s="76" t="n">
        <x:v>33</x:v>
      </x:c>
      <x:c r="D174" s="76" t="n">
        <x:v>4028</x:v>
      </x:c>
      <x:c r="E174" s="76" t="n">
        <x:v>2</x:v>
      </x:c>
      <x:c r="F174" s="76" t="n">
        <x:v>3067</x:v>
      </x:c>
      <x:c r="G174" s="76" t="n">
        <x:v>0</x:v>
      </x:c>
      <x:c r="H174" s="76" t="n">
        <x:v>64</x:v>
      </x:c>
      <x:c r="I174" s="76" t="n">
        <x:v>52</x:v>
      </x:c>
      <x:c r="J174" s="76" t="n">
        <x:v>27</x:v>
      </x:c>
      <x:c r="K174" s="76" t="n">
        <x:v>143</x:v>
      </x:c>
      <x:c r="L174" s="70" t="n"/>
      <x:c r="M174" s="70" t="n"/>
    </x:row>
    <x:row r="175" s="39" customFormat="1" ht="144.5500030517578" customHeight="1">
      <x:c r="A175" s="80" t="n">
        <x:v>45804</x:v>
      </x:c>
      <x:c r="B175" s="70" t="inlineStr">
        <x:is>
          <x:t xml:space="preserve">2025-05</x:t>
        </x:is>
      </x:c>
      <x:c r="C175" s="76" t="n">
        <x:v>5</x:v>
      </x:c>
      <x:c r="D175" s="76" t="n">
        <x:v>1027</x:v>
      </x:c>
      <x:c r="E175" s="76" t="n">
        <x:v>2</x:v>
      </x:c>
      <x:c r="F175" s="76" t="n">
        <x:v>883</x:v>
      </x:c>
      <x:c r="G175" s="76" t="n">
        <x:v>0</x:v>
      </x:c>
      <x:c r="H175" s="76" t="n">
        <x:v>61</x:v>
      </x:c>
      <x:c r="I175" s="76" t="n">
        <x:v>8</x:v>
      </x:c>
      <x:c r="J175" s="76" t="n">
        <x:v>0</x:v>
      </x:c>
      <x:c r="K175" s="76" t="n">
        <x:v>69</x:v>
      </x:c>
      <x:c r="L175" s="70" t="inlineStr">
        <x:is>
          <x:t xml:space="preserve">media/other/18116008774470729.webp</x:t>
        </x:is>
      </x:c>
      <x:c r="M175" s="70" t="inlineStr">
        <x:is>
          <x:t xml:space="preserve">E AÍ, QUER INCREMENTAR SEU EVENTO OU GARANTIR O MELHOR LANCHE para seus colaboradores? ENTÃO fale agora mesmo com a nossa nova Associada, a SANTOS &amp; CIA. Proprietária da empresa, a Eliane Santos da Silva Arruda (aqui ao lado da nossa Rakilândia Medeiros), explica que a SANTOS &amp; CIA é uma fábrica de panificação, de quitandas e salgados, a qual trabalha com a venda de produtos para coffee break e lanches para empresas e eventos. “Todos nossos produtos são artesanais e com a melhor qualidade para atender nossos clientes”, destaca Eliane. Só lembrando: a SANTOS &amp; CIA trabalha apenas com revendas e encomendas programadas. Gostou? https://www.instagram.com/santos_ecia/ 
O fone para contato é o 64 981792850. PARABÉNS, E SEJA BEM-VINDA À ACIRV, SANTOS &amp; CIA.!!! 👏👏</x:t>
        </x:is>
      </x:c>
    </x:row>
    <x:row r="176" s="39" customFormat="1" ht="165.0500030517578" customHeight="1">
      <x:c r="A176" s="80" t="n">
        <x:v>45804</x:v>
      </x:c>
      <x:c r="B176" s="70" t="inlineStr">
        <x:is>
          <x:t xml:space="preserve">2025-05</x:t>
        </x:is>
      </x:c>
      <x:c r="C176" s="76" t="n">
        <x:v>0</x:v>
      </x:c>
      <x:c r="D176" s="76" t="n">
        <x:v>522</x:v>
      </x:c>
      <x:c r="E176" s="76" t="n">
        <x:v>0</x:v>
      </x:c>
      <x:c r="F176" s="76" t="n">
        <x:v>479</x:v>
      </x:c>
      <x:c r="G176" s="76" t="n">
        <x:v>1</x:v>
      </x:c>
      <x:c r="H176" s="76" t="n">
        <x:v>12</x:v>
      </x:c>
      <x:c r="I176" s="76" t="n">
        <x:v>0</x:v>
      </x:c>
      <x:c r="J176" s="76" t="n">
        <x:v>0</x:v>
      </x:c>
      <x:c r="K176" s="76" t="n">
        <x:v>13</x:v>
      </x:c>
      <x:c r="L176" s="70" t="inlineStr">
        <x:is>
          <x:t xml:space="preserve">media/other/17872430007261168.webp</x:t>
        </x:is>
      </x:c>
      <x:c r="M176" s="70" t="inlineStr">
        <x:is>
          <x:t xml:space="preserve">📢 Atenção, empresário de Rio Verde!
O Grupo Acelerador e Marcus Marques estão trazendo o Workshop Acelere sua
Empresa pela primeira vez em Rio Verde – *e nós garantimos 20% de desconto
para associados ACIRV.*
Esse evento é focado em empresários com mais de 10 colaboradores que querem:
✅ Aumentar o faturamento
✅ Melhorar a performance do time
✅ Desenvolver a postura de dono na equipe
✅ Fazer networking com empresários da região
📍 Se você quer fazer parte dessa transformação, garanta agora sua vaga com 20% OFF:
Faça sua inscrição no https://link.aceleradorempresarial.com.br/jvw</x:t>
        </x:is>
      </x:c>
    </x:row>
    <x:row r="177" s="39" customFormat="1" ht="31.899999618530273" customHeight="1">
      <x:c r="A177" s="80" t="n">
        <x:v>45803</x:v>
      </x:c>
      <x:c r="B177" s="70" t="inlineStr">
        <x:is>
          <x:t xml:space="preserve">2025-05</x:t>
        </x:is>
      </x:c>
      <x:c r="C177" s="76" t="n">
        <x:v>3</x:v>
      </x:c>
      <x:c r="D177" s="76" t="n">
        <x:v>341</x:v>
      </x:c>
      <x:c r="E177" s="76" t="n">
        <x:v>0</x:v>
      </x:c>
      <x:c r="F177" s="76" t="n">
        <x:v>313</x:v>
      </x:c>
      <x:c r="G177" s="76" t="n">
        <x:v>0</x:v>
      </x:c>
      <x:c r="H177" s="76" t="n">
        <x:v>4</x:v>
      </x:c>
      <x:c r="I177" s="76" t="n">
        <x:v>0</x:v>
      </x:c>
      <x:c r="J177" s="76" t="n">
        <x:v>0</x:v>
      </x:c>
      <x:c r="K177" s="76" t="n">
        <x:v>4</x:v>
      </x:c>
      <x:c r="L177" s="70" t="inlineStr">
        <x:is>
          <x:t xml:space="preserve">media/other/18283591723302061.webp</x:t>
        </x:is>
      </x:c>
      <x:c r="M177" s="70" t="inlineStr">
        <x:is>
          <x:t xml:space="preserve">EDITAL DE CONVOCAÇÃO para a Assembleia Geral Ordinária da Associação Comercial, Industrial e Serviços de Rio Verde (ACIRV), que acontecerá no próximo dia 5 de junho, às 07h30m.</x:t>
        </x:is>
      </x:c>
    </x:row>
    <x:row r="178" s="39" customFormat="1" ht="31.899999618530273" customHeight="1">
      <x:c r="A178" s="80" t="n">
        <x:v>45800</x:v>
      </x:c>
      <x:c r="B178" s="70" t="inlineStr">
        <x:is>
          <x:t xml:space="preserve">2025-05</x:t>
        </x:is>
      </x:c>
      <x:c r="C178" s="76" t="n">
        <x:v>2</x:v>
      </x:c>
      <x:c r="D178" s="76" t="n">
        <x:v>1563</x:v>
      </x:c>
      <x:c r="E178" s="76" t="n">
        <x:v>0</x:v>
      </x:c>
      <x:c r="F178" s="76" t="n">
        <x:v>1460</x:v>
      </x:c>
      <x:c r="G178" s="76" t="n">
        <x:v>0</x:v>
      </x:c>
      <x:c r="H178" s="76" t="n">
        <x:v>49</x:v>
      </x:c>
      <x:c r="I178" s="76" t="n">
        <x:v>2</x:v>
      </x:c>
      <x:c r="J178" s="76" t="n">
        <x:v>3</x:v>
      </x:c>
      <x:c r="K178" s="76" t="n">
        <x:v>54</x:v>
      </x:c>
      <x:c r="L178" s="70" t="inlineStr">
        <x:is>
          <x:t xml:space="preserve">media/other/18060220085152082.webp</x:t>
        </x:is>
      </x:c>
      <x:c r="M178" s="70" t="inlineStr">
        <x:is>
          <x:t xml:space="preserve">A ACIRV vem a público ratificar esta Nota de Repúdio emitida pela Confederação das Associações Comerciais e Empresariais do Brasil (CACB), Confederação da qual fazemos parte.</x:t>
        </x:is>
      </x:c>
    </x:row>
    <x:row r="179" s="39" customFormat="1" ht="103.5999984741211" customHeight="1">
      <x:c r="A179" s="80" t="n">
        <x:v>45800</x:v>
      </x:c>
      <x:c r="B179" s="70" t="inlineStr">
        <x:is>
          <x:t xml:space="preserve">2025-05</x:t>
        </x:is>
      </x:c>
      <x:c r="C179" s="76" t="n">
        <x:v>14</x:v>
      </x:c>
      <x:c r="D179" s="76" t="n">
        <x:v>2543</x:v>
      </x:c>
      <x:c r="E179" s="76" t="n">
        <x:v>1</x:v>
      </x:c>
      <x:c r="F179" s="76" t="n">
        <x:v>2379</x:v>
      </x:c>
      <x:c r="G179" s="76" t="n">
        <x:v>2</x:v>
      </x:c>
      <x:c r="H179" s="76" t="n">
        <x:v>100</x:v>
      </x:c>
      <x:c r="I179" s="76" t="n">
        <x:v>7</x:v>
      </x:c>
      <x:c r="J179" s="76" t="n">
        <x:v>4</x:v>
      </x:c>
      <x:c r="K179" s="76" t="n">
        <x:v>113</x:v>
      </x:c>
      <x:c r="L179" s="70" t="inlineStr">
        <x:is>
          <x:t xml:space="preserve">media/other/17968343006903881.webp</x:t>
        </x:is>
      </x:c>
      <x:c r="M179" s="70" t="inlineStr">
        <x:is>
          <x:t xml:space="preserve">NOTA DE PESAR – ROMEU BELLO
A ACIRV, por meio do Presidente Eduardo Lobo, Diretores e demais colaboradores, manifesta profundo pesar pelo falecimento de Romeu Bello Macedo, ex-presidente que dirigiu a Associação entre 1992 e 1994 e foi um dos homenageados na comemoração dos 40 anos da ACIRV. Aos familiares e amigos, nossos sinceros sentimentos e que Deus possa confortá-los neste momento de dor. O velório será na Pax Rio Verde (Jardim Marconal) e está previsto para começar às 15h30 de hoje.</x:t>
        </x:is>
      </x:c>
    </x:row>
    <x:row r="180" s="39" customFormat="1" ht="62.650001525878906" customHeight="1">
      <x:c r="A180" s="80" t="n">
        <x:v>45798</x:v>
      </x:c>
      <x:c r="B180" s="70" t="inlineStr">
        <x:is>
          <x:t xml:space="preserve">2025-05</x:t>
        </x:is>
      </x:c>
      <x:c r="C180" s="76" t="n">
        <x:v>3</x:v>
      </x:c>
      <x:c r="D180" s="76" t="n">
        <x:v>566</x:v>
      </x:c>
      <x:c r="E180" s="76" t="n">
        <x:v>0</x:v>
      </x:c>
      <x:c r="F180" s="76" t="n">
        <x:v>521</x:v>
      </x:c>
      <x:c r="G180" s="76" t="n">
        <x:v>1</x:v>
      </x:c>
      <x:c r="H180" s="76" t="n">
        <x:v>15</x:v>
      </x:c>
      <x:c r="I180" s="76" t="n">
        <x:v>0</x:v>
      </x:c>
      <x:c r="J180" s="76" t="n">
        <x:v>2</x:v>
      </x:c>
      <x:c r="K180" s="76" t="n">
        <x:v>18</x:v>
      </x:c>
      <x:c r="L180" s="70" t="inlineStr">
        <x:is>
          <x:t xml:space="preserve">media/other/18357913615199202.webp</x:t>
        </x:is>
      </x:c>
      <x:c r="M180" s="70" t="inlineStr">
        <x:is>
          <x:t xml:space="preserve">É AMANHÃ, QUINTA FEIRA!!! NOSSO CAFÉ ENTRE AMIGOS terá a palestra “QUANDO A CULTURA ENCONTRA A DIVERSIDADE DE GERAÇÕES”, com o CEO e Founder da Simple Agro Corporation, Luiz Eduardo Bueno Borges e também a posse das primeiras Diretorias do CONSELHO EMPREGA ACIRV e da CÂMARA SETORIAL DE SAÚDE. NÃO PERCA!!! ✨🚀✨</x:t>
        </x:is>
      </x:c>
    </x:row>
    <x:row r="181" s="39" customFormat="1" ht="134.3000030517578" customHeight="1">
      <x:c r="A181" s="80" t="n">
        <x:v>45798</x:v>
      </x:c>
      <x:c r="B181" s="70" t="inlineStr">
        <x:is>
          <x:t xml:space="preserve">2025-05</x:t>
        </x:is>
      </x:c>
      <x:c r="C181" s="76" t="n">
        <x:v>0</x:v>
      </x:c>
      <x:c r="D181" s="76" t="n">
        <x:v>1209</x:v>
      </x:c>
      <x:c r="E181" s="76" t="n">
        <x:v>0</x:v>
      </x:c>
      <x:c r="F181" s="76" t="n">
        <x:v>1054</x:v>
      </x:c>
      <x:c r="G181" s="76" t="n">
        <x:v>0</x:v>
      </x:c>
      <x:c r="H181" s="76" t="n">
        <x:v>52</x:v>
      </x:c>
      <x:c r="I181" s="76" t="n">
        <x:v>7</x:v>
      </x:c>
      <x:c r="J181" s="76" t="n">
        <x:v>0</x:v>
      </x:c>
      <x:c r="K181" s="76" t="n">
        <x:v>59</x:v>
      </x:c>
      <x:c r="L181" s="70" t="inlineStr">
        <x:is>
          <x:t xml:space="preserve">media/other/18039037958630683.webp</x:t>
        </x:is>
      </x:c>
      <x:c r="M181" s="70" t="inlineStr">
        <x:is>
          <x:t xml:space="preserve">ESTÁ PRECISANDO TRAZER UM POUCO DE LEVEZA para os seus dias? Então venha conhecer o PASINI WINE BAR, que oferece um espaço aconchegante e climatizado, ideal para vivenciar momentos de lazer, interação e confraternização, regados a vinho, alta gastronomia e conhecimento. Quem garante é a proprietária, Eliane Pasini (aqui ao lado da nossa Rakilândia Medeiros), idealizadora e sommelier do 1° bar de vinhos da nossa cidade. “Nossa missão é trazer conhecimentos gerais sobre o mundo dos vinhos e tornar a bebida acessível a um maior número de pessoas”, diz Eliane. O PASINI WINE BAR está localizado na Rua Abel Pereira de Castro, 880, centro. O fone é o 64 99249-5117. PARABÉNS, E SEJA BEM-VINDO À ACIRV, PASINI WINE BAR!!! 👏👏</x:t>
        </x:is>
      </x:c>
    </x:row>
    <x:row r="182" s="39" customFormat="1" ht="185.5" customHeight="1">
      <x:c r="A182" s="80" t="n">
        <x:v>45797</x:v>
      </x:c>
      <x:c r="B182" s="70" t="inlineStr">
        <x:is>
          <x:t xml:space="preserve">2025-05</x:t>
        </x:is>
      </x:c>
      <x:c r="C182" s="76" t="n">
        <x:v>0</x:v>
      </x:c>
      <x:c r="D182" s="76" t="n">
        <x:v>558</x:v>
      </x:c>
      <x:c r="E182" s="76" t="n">
        <x:v>0</x:v>
      </x:c>
      <x:c r="F182" s="76" t="n">
        <x:v>471</x:v>
      </x:c>
      <x:c r="G182" s="76" t="n">
        <x:v>2</x:v>
      </x:c>
      <x:c r="H182" s="76" t="n">
        <x:v>7</x:v>
      </x:c>
      <x:c r="I182" s="76" t="n">
        <x:v>0</x:v>
      </x:c>
      <x:c r="J182" s="76" t="n">
        <x:v>0</x:v>
      </x:c>
      <x:c r="K182" s="76" t="n">
        <x:v>9</x:v>
      </x:c>
      <x:c r="L182" s="70" t="inlineStr">
        <x:is>
          <x:t xml:space="preserve">media/other/18112960777494365.webp</x:t>
        </x:is>
      </x:c>
      <x:c r="M182" s="70" t="inlineStr">
        <x:is>
          <x:t xml:space="preserve">NA ACIRV, CONSELHO FISCAL SE REÚNE PARA ANALISAR DADOS FISCAIS DA ASSOCIAÇÃO REFERENTES AO ANO DE 2024 
A reunião, conduzida pelo presidente Eduardo Lobo e realizada na manhã desta terça-feira (20), faz parte do trabalho que é realizado pelo Conselho Fiscal da entidade. 
Conforme o presidente, depois de analisados pelos representantes do Conselho, os dados serão apresentados aos associados na Assembleia Geral Ordinária, programada para acontecer no próximo dia 5 de junho. 
Presentes na reunião, Ana Rosa Bueno, representante da empresa Nectar Contabilidade, (responsável pelo gerenciamento contábil da entidade); o Diretor Financeiro da ACIRV, Diego Modulo Ribeiro e os conselheiros fiscais Sidenilso Filgueira e Walter Venâncio Guimarães.</x:t>
        </x:is>
      </x:c>
    </x:row>
    <x:row r="183" s="39" customFormat="1" ht="15" customHeight="1">
      <x:c r="A183" s="80" t="n">
        <x:v>45796</x:v>
      </x:c>
      <x:c r="B183" s="70" t="inlineStr">
        <x:is>
          <x:t xml:space="preserve">2025-05</x:t>
        </x:is>
      </x:c>
      <x:c r="C183" s="76" t="n">
        <x:v>10</x:v>
      </x:c>
      <x:c r="D183" s="76" t="n">
        <x:v>805</x:v>
      </x:c>
      <x:c r="E183" s="76" t="n">
        <x:v>3</x:v>
      </x:c>
      <x:c r="F183" s="76" t="n">
        <x:v>751</x:v>
      </x:c>
      <x:c r="G183" s="76" t="n">
        <x:v>3</x:v>
      </x:c>
      <x:c r="H183" s="76" t="n">
        <x:v>15</x:v>
      </x:c>
      <x:c r="I183" s="76" t="n">
        <x:v>0</x:v>
      </x:c>
      <x:c r="J183" s="76" t="n">
        <x:v>9</x:v>
      </x:c>
      <x:c r="K183" s="76" t="n">
        <x:v>27</x:v>
      </x:c>
      <x:c r="L183" s="70" t="inlineStr">
        <x:is>
          <x:t xml:space="preserve">media/other/17976340031707558.webp</x:t>
        </x:is>
      </x:c>
      <x:c r="M183" s="70" t="n"/>
    </x:row>
    <x:row r="184" s="39" customFormat="1" ht="93.3499984741211" customHeight="1">
      <x:c r="A184" s="80" t="n">
        <x:v>45796</x:v>
      </x:c>
      <x:c r="B184" s="70" t="inlineStr">
        <x:is>
          <x:t xml:space="preserve">2025-05</x:t>
        </x:is>
      </x:c>
      <x:c r="C184" s="76" t="n">
        <x:v>0</x:v>
      </x:c>
      <x:c r="D184" s="76" t="n">
        <x:v>361</x:v>
      </x:c>
      <x:c r="E184" s="76" t="n">
        <x:v>0</x:v>
      </x:c>
      <x:c r="F184" s="76" t="n">
        <x:v>344</x:v>
      </x:c>
      <x:c r="G184" s="76" t="n">
        <x:v>0</x:v>
      </x:c>
      <x:c r="H184" s="76" t="n">
        <x:v>10</x:v>
      </x:c>
      <x:c r="I184" s="76" t="n">
        <x:v>0</x:v>
      </x:c>
      <x:c r="J184" s="76" t="n">
        <x:v>1</x:v>
      </x:c>
      <x:c r="K184" s="76" t="n">
        <x:v>11</x:v>
      </x:c>
      <x:c r="L184" s="70" t="inlineStr">
        <x:is>
          <x:t xml:space="preserve">media/other/18160931245359878.webp</x:t>
        </x:is>
      </x:c>
      <x:c r="M184" s="70" t="inlineStr">
        <x:is>
          <x:t xml:space="preserve">AQUI NA ACIRV, COMEÇAMOS A SEMANA JÁ AGRADECENDO AO NOSSO AMIGO JESUS CATARINO pelo apoio que o seu Jornal da Cidade tem dado à nossa Associação. Nesta edição, o Jornal estampou em suas páginas a inauguração da reforma e modernização da Câmara de Arbitragem e Mediação da ACIRV, onde, além de troca de móveis e pintura, foi implementado o processo digital, com todos os documentos da CAM sendo digitalizados. Hoje, a CAM é 100% digital. BRIGADUUU JORNAL FOLHA DA CIDADE! 🌟🚀🚀</x:t>
        </x:is>
      </x:c>
    </x:row>
    <x:row r="185" s="39" customFormat="1" ht="124.05000305175781" customHeight="1">
      <x:c r="A185" s="80" t="n">
        <x:v>45793</x:v>
      </x:c>
      <x:c r="B185" s="70" t="inlineStr">
        <x:is>
          <x:t xml:space="preserve">2025-05</x:t>
        </x:is>
      </x:c>
      <x:c r="C185" s="76" t="n">
        <x:v>7</x:v>
      </x:c>
      <x:c r="D185" s="76" t="n">
        <x:v>1785</x:v>
      </x:c>
      <x:c r="E185" s="76" t="n">
        <x:v>0</x:v>
      </x:c>
      <x:c r="F185" s="76" t="n">
        <x:v>1698</x:v>
      </x:c>
      <x:c r="G185" s="76" t="n">
        <x:v>1</x:v>
      </x:c>
      <x:c r="H185" s="76" t="n">
        <x:v>41</x:v>
      </x:c>
      <x:c r="I185" s="76" t="n">
        <x:v>4</x:v>
      </x:c>
      <x:c r="J185" s="76" t="n">
        <x:v>4</x:v>
      </x:c>
      <x:c r="K185" s="76" t="n">
        <x:v>50</x:v>
      </x:c>
      <x:c r="L185" s="70" t="inlineStr">
        <x:is>
          <x:t xml:space="preserve">media/other/18278211481269801.webp</x:t>
        </x:is>
      </x:c>
      <x:c r="M185" s="70" t="inlineStr">
        <x:is>
          <x:t xml:space="preserve">NOTA DE PESAR – MEIRELUZ RIBEIRO LANDIM 
A Associação Comercial, Industrial e Serviços de Rio Verde (ACIRV), por meio de seu Presidente Eduardo Lobo, Diretores e demais colaboradores, vem a público manifestar profundo pesar pelo falecimento da Senhora Meireluz Ribeiro Landim, mãe do ex-presidente da ACIRV e do CODERV, Angelo Thomaz Landim Júnior, ocorrido neste dia 15 de maio. Aos familiares e amigos, nossos sinceros sentimentos e que Deus possa confortá-los neste momento de tamanha dor.
O corpo está sendo velado na Capela Veneza (R. Wolney da C. Martins, 75, Res. Veneza).</x:t>
        </x:is>
      </x:c>
    </x:row>
    <x:row r="186" s="39" customFormat="1" ht="93.3499984741211" customHeight="1">
      <x:c r="A186" s="80" t="n">
        <x:v>45791</x:v>
      </x:c>
      <x:c r="B186" s="70" t="inlineStr">
        <x:is>
          <x:t xml:space="preserve">2025-05</x:t>
        </x:is>
      </x:c>
      <x:c r="C186" s="76" t="n">
        <x:v>3</x:v>
      </x:c>
      <x:c r="D186" s="76" t="n">
        <x:v>2211</x:v>
      </x:c>
      <x:c r="E186" s="76" t="n">
        <x:v>2</x:v>
      </x:c>
      <x:c r="F186" s="76" t="n">
        <x:v>1337</x:v>
      </x:c>
      <x:c r="G186" s="76" t="n">
        <x:v>4</x:v>
      </x:c>
      <x:c r="H186" s="76" t="n">
        <x:v>42</x:v>
      </x:c>
      <x:c r="I186" s="76" t="n">
        <x:v>2</x:v>
      </x:c>
      <x:c r="J186" s="76" t="n">
        <x:v>5</x:v>
      </x:c>
      <x:c r="K186" s="76" t="n">
        <x:v>53</x:v>
      </x:c>
      <x:c r="L186" s="70" t="inlineStr">
        <x:is>
          <x:t xml:space="preserve">media/other/18053471942338124.webp</x:t>
        </x:is>
      </x:c>
      <x:c r="M186" s="70" t="inlineStr">
        <x:is>
          <x:t xml:space="preserve">AINDA NÃO GARANTIU SUA PRESENÇA NO NOSSO CAFÉ ENTRE AMIGOS DE MAIO?? É muito fácil, basta preencher seus dados no link https://doity.com.br/palestra-liderar-sem-manual e sua presença já estará confirmada. Além do tradicional networking, você poderá aperfeiçoar seus conhecimentos com a palestra de um dos grandes empresários de Goiás, o CEO e Founder da Simple Agro Corporation, Luiz Eduardo Bueno Borges. NÃO FIQUE DE FORA!! Dia 22 de maio, às 07h30, na ACIRV. ✨🚀✨</x:t>
        </x:is>
      </x:c>
    </x:row>
    <x:row r="187" s="39" customFormat="1" ht="195.75" customHeight="1">
      <x:c r="A187" s="80" t="n">
        <x:v>45790</x:v>
      </x:c>
      <x:c r="B187" s="70" t="inlineStr">
        <x:is>
          <x:t xml:space="preserve">2025-05</x:t>
        </x:is>
      </x:c>
      <x:c r="C187" s="76" t="n">
        <x:v>27</x:v>
      </x:c>
      <x:c r="D187" s="76" t="n">
        <x:v>1007</x:v>
      </x:c>
      <x:c r="E187" s="76" t="n">
        <x:v>1</x:v>
      </x:c>
      <x:c r="F187" s="76" t="n">
        <x:v>730</x:v>
      </x:c>
      <x:c r="G187" s="76" t="n">
        <x:v>2</x:v>
      </x:c>
      <x:c r="H187" s="76" t="n">
        <x:v>25</x:v>
      </x:c>
      <x:c r="I187" s="76" t="n">
        <x:v>2</x:v>
      </x:c>
      <x:c r="J187" s="76" t="n">
        <x:v>19</x:v>
      </x:c>
      <x:c r="K187" s="76" t="n">
        <x:v>48</x:v>
      </x:c>
      <x:c r="L187" s="70" t="inlineStr">
        <x:is>
          <x:t xml:space="preserve">media/other/18058160176949896.webp</x:t>
        </x:is>
      </x:c>
      <x:c r="M187" s="70" t="inlineStr">
        <x:is>
          <x:t xml:space="preserve">CONVITE ESPECIAL 
Participe do 1º I.A.R.V. – Senac Infinite, o primeiro evento de inteligência artificial promovido pelo Senac Rio Verde!
Data: Sexta-feira, 23 de maio
Horário: A partir das 18h (credenciamento)
Local: Auditório Senac Rio Verde
Evento gratuito – Vagas limitadas!
Programação:
	•	Palestra 1: Inteligência Artificial para Negócios
	•	Palestra 2: Crie sua Própria Ferramenta de IA
Inscreva-se agora pelo link:
[https://forms.office.com/r/EHgHiAigct
🌟Não perca essa oportunidade de mergulhar no universo da tecnologia e inovação!</x:t>
        </x:is>
      </x:c>
    </x:row>
    <x:row r="188" s="39" customFormat="1" ht="165.0500030517578" customHeight="1">
      <x:c r="A188" s="80" t="n">
        <x:v>45789</x:v>
      </x:c>
      <x:c r="B188" s="70" t="inlineStr">
        <x:is>
          <x:t xml:space="preserve">2025-05</x:t>
        </x:is>
      </x:c>
      <x:c r="C188" s="76" t="n">
        <x:v>2</x:v>
      </x:c>
      <x:c r="D188" s="76" t="n">
        <x:v>660</x:v>
      </x:c>
      <x:c r="E188" s="76" t="n">
        <x:v>0</x:v>
      </x:c>
      <x:c r="F188" s="76" t="n">
        <x:v>539</x:v>
      </x:c>
      <x:c r="G188" s="76" t="n">
        <x:v>0</x:v>
      </x:c>
      <x:c r="H188" s="76" t="n">
        <x:v>19</x:v>
      </x:c>
      <x:c r="I188" s="76" t="n">
        <x:v>1</x:v>
      </x:c>
      <x:c r="J188" s="76" t="n">
        <x:v>0</x:v>
      </x:c>
      <x:c r="K188" s="76" t="n">
        <x:v>20</x:v>
      </x:c>
      <x:c r="L188" s="70" t="inlineStr">
        <x:is>
          <x:t xml:space="preserve">media/other/18069301804780914.webp</x:t>
        </x:is>
      </x:c>
      <x:c r="M188" s="70" t="inlineStr">
        <x:is>
          <x:t xml:space="preserve">HOJE TEMOS O PRAZER DE ANUNCIAR A CHEGADA DA NOSSA NOVA ASSOCIADA, A DRA. ANA PAULA FRANCO, cirurgiã-dentista, com atuação clínica e foco em reabilitação oral e estética. Segundo a Dra Ana Paula, aqui ao lado da nossa Rakilândia Medeiros, ela trabalha com facetas dentárias em resina e porcelana, realiza Tratamento Endodôntico (canal) e Próteses Dentárias, devolvendo a função mastigatória, estética e qualidade de vida às pessoas. “Minha missão clínica é transformar sorrisos com saúde, equilíbrio estético e funcionalidade, sempre respeitando as necessidades individuais de cada paciente”, destaca Ana Paula, que é Sócia Proprietária da Dental Ellus (venda de produtos odontológicos e equipamentos para consultórios odontológicos e médicos). Quer saber mais? Https://wa.me/5564993144017 o Fone é o 64 9314-4017. PARABÉNS, E SEJA BEM-VINDA À ACIRV, DRA. ANA PAULA FRANCO!!! 👏👏</x:t>
        </x:is>
      </x:c>
    </x:row>
    <x:row r="189" s="39" customFormat="1" ht="134.3000030517578" customHeight="1">
      <x:c r="A189" s="80" t="n">
        <x:v>45785</x:v>
      </x:c>
      <x:c r="B189" s="70" t="inlineStr">
        <x:is>
          <x:t xml:space="preserve">2025-05</x:t>
        </x:is>
      </x:c>
      <x:c r="C189" s="76" t="n">
        <x:v>6</x:v>
      </x:c>
      <x:c r="D189" s="76" t="n">
        <x:v>4746</x:v>
      </x:c>
      <x:c r="E189" s="76" t="n">
        <x:v>2</x:v>
      </x:c>
      <x:c r="F189" s="76" t="n">
        <x:v>2501</x:v>
      </x:c>
      <x:c r="G189" s="76" t="n">
        <x:v>2</x:v>
      </x:c>
      <x:c r="H189" s="76" t="n">
        <x:v>66</x:v>
      </x:c>
      <x:c r="I189" s="76" t="n">
        <x:v>0</x:v>
      </x:c>
      <x:c r="J189" s="76" t="n">
        <x:v>29</x:v>
      </x:c>
      <x:c r="K189" s="76" t="n">
        <x:v>97</x:v>
      </x:c>
      <x:c r="L189" s="70" t="inlineStr">
        <x:is>
          <x:t xml:space="preserve">media/other/18015385883709674.webp</x:t>
        </x:is>
      </x:c>
      <x:c r="M189" s="70" t="inlineStr">
        <x:is>
          <x:t xml:space="preserve">E VEM AÍ NOSSO CAFÉ ENTRE AMIGOS DE MAIO, onde teremos muito networking e a palestra “QUANDO A CULTURA ENCONTRA A DIVERSIDADE DE GERAÇÕES”, com o CEO e Founder da Simple Agro Corporation, Luiz Eduardo Bueno Borges. A palestra desafia os modelos tradicionais de liderança e mostra como a imprevisibilidade geracional exige líderes com leitura de contexto, sensibilidade cultural e resiliência emocional. JÁ MARQUE AÍ: 22 de maio, às 07h30, na ACIRV. ✨🚀✨
Faça sua inscrição pelo link abaixo:
https://doity.com.br/palestra-liderar-sem-manual</x:t>
        </x:is>
      </x:c>
    </x:row>
    <x:row r="190" s="39" customFormat="1" ht="328.8999938964844" customHeight="1">
      <x:c r="A190" s="80" t="n">
        <x:v>45784</x:v>
      </x:c>
      <x:c r="B190" s="70" t="inlineStr">
        <x:is>
          <x:t xml:space="preserve">2025-05</x:t>
        </x:is>
      </x:c>
      <x:c r="C190" s="76" t="n">
        <x:v>6</x:v>
      </x:c>
      <x:c r="D190" s="76" t="n">
        <x:v>1614</x:v>
      </x:c>
      <x:c r="E190" s="76" t="n">
        <x:v>1</x:v>
      </x:c>
      <x:c r="F190" s="76" t="n">
        <x:v>1203</x:v>
      </x:c>
      <x:c r="G190" s="76" t="n">
        <x:v>4</x:v>
      </x:c>
      <x:c r="H190" s="76" t="n">
        <x:v>78</x:v>
      </x:c>
      <x:c r="I190" s="76" t="n">
        <x:v>9</x:v>
      </x:c>
      <x:c r="J190" s="76" t="n">
        <x:v>27</x:v>
      </x:c>
      <x:c r="K190" s="76" t="n">
        <x:v>118</x:v>
      </x:c>
      <x:c r="L190" s="70" t="inlineStr">
        <x:is>
          <x:t xml:space="preserve">media/other/17997305438783827.webp</x:t>
        </x:is>
      </x:c>
      <x:c r="M190" s="70" t="inlineStr">
        <x:is>
          <x:t xml:space="preserve">Vem aí o 2º Congresso Regional da Mulher Empreendedora, um evento pensado para fortalecer, capacitar e impulsionar o protagonismo feminino no Sudoeste Goiano.
Nesta edição, teremos uma programação intensa com palestras, oficinas práticas, rodas de conversa e workshops voltados para o desenvolvimento pessoal e profissional da mulher empreendedora.
E sabe quem estará conosco?
Mariana Perdomo, empresária referência no setor de confeitaria e gestão de negócios, vai compartilhar sua trajetória, desafios e estratégias que a tornaram um dos grandes nomes do empreendedorismo feminino em Goiás. 
Além dela, teremos outras convidadas incríveis, cada uma trazendo temas que fazem a diferença no dia a dia de quem empreende ou quer empreender.
Reserve essa data e venha fazer parte de um movimento que conecta, fortalece e transforma!
Data: 24 e 25 de junho 
Local: UniRV 
Em breve, abriremos as inscrições com toda programação! 
Fique atenta!
#CongressoACIRVMulher #acirv #EmpreendedorismoFeminino #MulheresQueInspiram #SudoesteGoiano #ACIRVMulher2025 #MulheresDeNegócio</x:t>
        </x:is>
      </x:c>
    </x:row>
    <x:row r="191" s="39" customFormat="1" ht="165.0500030517578" customHeight="1">
      <x:c r="A191" s="80" t="n">
        <x:v>45783</x:v>
      </x:c>
      <x:c r="B191" s="70" t="inlineStr">
        <x:is>
          <x:t xml:space="preserve">2025-05</x:t>
        </x:is>
      </x:c>
      <x:c r="C191" s="76" t="n">
        <x:v>0</x:v>
      </x:c>
      <x:c r="D191" s="76" t="n">
        <x:v>1021</x:v>
      </x:c>
      <x:c r="E191" s="76" t="n">
        <x:v>0</x:v>
      </x:c>
      <x:c r="F191" s="76" t="n">
        <x:v>857</x:v>
      </x:c>
      <x:c r="G191" s="76" t="n">
        <x:v>0</x:v>
      </x:c>
      <x:c r="H191" s="76" t="n">
        <x:v>37</x:v>
      </x:c>
      <x:c r="I191" s="76" t="n">
        <x:v>10</x:v>
      </x:c>
      <x:c r="J191" s="76" t="n">
        <x:v>1</x:v>
      </x:c>
      <x:c r="K191" s="76" t="n">
        <x:v>48</x:v>
      </x:c>
      <x:c r="L191" s="70" t="inlineStr">
        <x:is>
          <x:t xml:space="preserve">media/other/18503339866032810.webp</x:t>
        </x:is>
      </x:c>
      <x:c r="M191" s="70" t="inlineStr">
        <x:is>
          <x:t xml:space="preserve">E OLHA SÓ QUEM É A NOSSA NOVA ASSOCIADA! Ela mesmo, a MARIANA DUARTE SEMIJOIAS! E nossa alegria é ainda maior nesta semana que antecede o Dia das Mães, uma data cheia de amor, carinho e gratidão. Para tornar esse momento ainda mais especial, a MARIANA DUARTE SEMIJOIAS, aqui ao lado da nossa Rakilândia Medeiros, oferece peças únicas e cheias de significado. Com joias banhadas a ouro 18k e prata 925, a marca se destaca pela alta qualidade e pelo cuidado em cada detalhe. Além da beleza das peças, o grande diferencial está no atendimento personalizado, pensado para ajudar você a escolher o presente ideal que represente todo o amor por quem sempre esteve ao seu lado. Surpreenda sua mãe com um presente à altura do que ela merece. Quer saber mais? https://www.instagram.com/mduartesemijoias/. Fone: 64 9207-0762. PARABÉNS, E SEJA BEM-VINDA À ACIRV, MARIANA DUARTE SEMIJOIAS!!! 👏👏</x:t>
        </x:is>
      </x:c>
    </x:row>
    <x:row r="192" s="39" customFormat="1" ht="83.0999984741211" customHeight="1">
      <x:c r="A192" s="80" t="n">
        <x:v>45782</x:v>
      </x:c>
      <x:c r="B192" s="70" t="inlineStr">
        <x:is>
          <x:t xml:space="preserve">2025-05</x:t>
        </x:is>
      </x:c>
      <x:c r="C192" s="76" t="n">
        <x:v>1</x:v>
      </x:c>
      <x:c r="D192" s="76" t="n">
        <x:v>540</x:v>
      </x:c>
      <x:c r="E192" s="76" t="n">
        <x:v>0</x:v>
      </x:c>
      <x:c r="F192" s="76" t="n">
        <x:v>464</x:v>
      </x:c>
      <x:c r="G192" s="76" t="n">
        <x:v>0</x:v>
      </x:c>
      <x:c r="H192" s="76" t="n">
        <x:v>8</x:v>
      </x:c>
      <x:c r="I192" s="76" t="n">
        <x:v>0</x:v>
      </x:c>
      <x:c r="J192" s="76" t="n">
        <x:v>0</x:v>
      </x:c>
      <x:c r="K192" s="76" t="n">
        <x:v>8</x:v>
      </x:c>
      <x:c r="L192" s="70" t="inlineStr">
        <x:is>
          <x:t xml:space="preserve">media/other/17964976694864314.webp</x:t>
        </x:is>
      </x:c>
      <x:c r="M192" s="70" t="inlineStr">
        <x:is>
          <x:t xml:space="preserve">NOSSOS AGRADECIMENTOS À IMPRENSA de Rio Verde, que tanto tem auxiliado na divulgação das nossas atividades. E o abraço especial de hoje vai para o JORNAL FOLHA DA CIDADE, do estimado amigo Jesus Catarino, que destacou em seu periódico a criação do “CONSELHO EMPREGA ACIRV”. Uma ação inovadora da nossa Associação e que visa fomentar a geração de empregos e apoiar empresários no preenchimento de vagas em Rio Verde. BRIGADUUU JORNAL FOLHA DA CIDADE! 🌟🚀🚀</x:t>
        </x:is>
      </x:c>
    </x:row>
    <x:row r="193" s="39" customFormat="1" ht="15" customHeight="1">
      <x:c r="A193" s="80" t="n">
        <x:v>45778</x:v>
      </x:c>
      <x:c r="B193" s="70" t="inlineStr">
        <x:is>
          <x:t xml:space="preserve">2025-05</x:t>
        </x:is>
      </x:c>
      <x:c r="C193" s="76" t="n">
        <x:v>0</x:v>
      </x:c>
      <x:c r="D193" s="76" t="n">
        <x:v>196</x:v>
      </x:c>
      <x:c r="E193" s="76" t="n">
        <x:v>0</x:v>
      </x:c>
      <x:c r="F193" s="76" t="n">
        <x:v>181</x:v>
      </x:c>
      <x:c r="G193" s="76" t="n">
        <x:v>0</x:v>
      </x:c>
      <x:c r="H193" s="76" t="n">
        <x:v>1</x:v>
      </x:c>
      <x:c r="I193" s="76" t="n">
        <x:v>0</x:v>
      </x:c>
      <x:c r="J193" s="76" t="n">
        <x:v>0</x:v>
      </x:c>
      <x:c r="K193" s="76" t="n">
        <x:v>1</x:v>
      </x:c>
      <x:c r="L193" s="70" t="inlineStr">
        <x:is>
          <x:t xml:space="preserve">media/other/18041743004445884.webp</x:t>
        </x:is>
      </x:c>
      <x:c r="M193" s="70" t="n"/>
    </x:row>
    <x:row r="194" s="39" customFormat="1" ht="144.5500030517578" customHeight="1">
      <x:c r="A194" s="80" t="n">
        <x:v>45777</x:v>
      </x:c>
      <x:c r="B194" s="70" t="inlineStr">
        <x:is>
          <x:t xml:space="preserve">2025-04</x:t>
        </x:is>
      </x:c>
      <x:c r="C194" s="76" t="n">
        <x:v>3</x:v>
      </x:c>
      <x:c r="D194" s="76" t="n">
        <x:v>1427</x:v>
      </x:c>
      <x:c r="E194" s="76" t="n">
        <x:v>0</x:v>
      </x:c>
      <x:c r="F194" s="76" t="n">
        <x:v>1288</x:v>
      </x:c>
      <x:c r="G194" s="76" t="n">
        <x:v>0</x:v>
      </x:c>
      <x:c r="H194" s="76" t="n">
        <x:v>26</x:v>
      </x:c>
      <x:c r="I194" s="76" t="n">
        <x:v>3</x:v>
      </x:c>
      <x:c r="J194" s="76" t="n">
        <x:v>2</x:v>
      </x:c>
      <x:c r="K194" s="76" t="n">
        <x:v>31</x:v>
      </x:c>
      <x:c r="L194" s="70" t="inlineStr">
        <x:is>
          <x:t xml:space="preserve">media/other/17933412192034618.webp</x:t>
        </x:is>
      </x:c>
      <x:c r="M194" s="70" t="inlineStr">
        <x:is>
          <x:t xml:space="preserve">QUER IMPULSIONAR SEU NEGÓCIO RURAL E TRANSFORMAR SEU SONHO EM REALIDADE? HORA então de entrar em contato com nossa nova Associada, a SONHAGRO! A empresa, explica Marcelo Oliveira, (aqui ao lado da nossa Rakilândia Medeiros e de seu sócio, Guilherme Foleis), oferece as melhores soluções de crédito para produtores rurais, facilitando o acesso a recursos. 1ª Franquia de crédito rural do País, a SONHAGRO atua em 23 estados, tem uma linha de crédito especial para MEI e Microempresas e contribui para o crescimento das propriedades rurais e da geração de empregos. Quer saber mais? https://www.instagram.com/p/DHd-HCYAXCR/ ou ligue 64 981132000. A SONHAGRO fica na Rua Urcesino Gusmão, Nº 241, Centro. PARABÉNS, E SEJA BEM-VINDA À ACIRV, SONHAGRO!!! 👏👏</x:t>
        </x:is>
      </x:c>
    </x:row>
    <x:row r="195" s="39" customFormat="1" ht="216.25" customHeight="1">
      <x:c r="A195" s="80" t="n">
        <x:v>45776</x:v>
      </x:c>
      <x:c r="B195" s="70" t="inlineStr">
        <x:is>
          <x:t xml:space="preserve">2025-04</x:t>
        </x:is>
      </x:c>
      <x:c r="C195" s="76" t="n">
        <x:v>0</x:v>
      </x:c>
      <x:c r="D195" s="76" t="n">
        <x:v>416</x:v>
      </x:c>
      <x:c r="E195" s="76" t="n">
        <x:v>0</x:v>
      </x:c>
      <x:c r="F195" s="76" t="n">
        <x:v>365</x:v>
      </x:c>
      <x:c r="G195" s="76" t="n">
        <x:v>0</x:v>
      </x:c>
      <x:c r="H195" s="76" t="n">
        <x:v>10</x:v>
      </x:c>
      <x:c r="I195" s="76" t="n">
        <x:v>0</x:v>
      </x:c>
      <x:c r="J195" s="76" t="n">
        <x:v>1</x:v>
      </x:c>
      <x:c r="K195" s="76" t="n">
        <x:v>11</x:v>
      </x:c>
      <x:c r="L195" s="70" t="inlineStr">
        <x:is>
          <x:t xml:space="preserve">media/other/18159547360359104.jpg</x:t>
        </x:is>
      </x:c>
      <x:c r="M195" s="70" t="inlineStr">
        <x:is>
          <x:t xml:space="preserve">O Presidente da Associação Comercial, Industrial e Serviços de Rio Verde (ACIRV), Eduardo Lôbo, participou da reunião do Conselho do Sicredi Cerrado, onde ministrou palestra com o tema “A Força da União: Como a Sociedade Organizada Impulsiona Rio Verde”. 
Em sua fala, destacou o papel fundamental da sociedade civil organizada e sua contribuição para o desenvolvimento de um município, utilizando-se de experiências adquiridas nas entidades pelas quais passou, além disso, citou o exemplo da ACIRV nas ações voltadas a defesas de demandas da classe empresarial, bem como da participação da entidade no desenvolvimento econômico e social do município, além de apresentar as iniciativas do CODERV, voltadas ao desenvolvimento estratégico do município. 
Eduardo ressaltou ainda a importância do associativismo e da atuação da sociedade civil organizada como pilares essenciais para o crescimento sustentável de Rio Verde, reforçando que a união de esforços entre instituições e cidadãos é o caminho para uma cidade, estado e país, mais forte e próspero.</x:t>
        </x:is>
      </x:c>
    </x:row>
    <x:row r="196" s="39" customFormat="1" ht="175.3000030517578" customHeight="1">
      <x:c r="A196" s="80" t="n">
        <x:v>45776</x:v>
      </x:c>
      <x:c r="B196" s="70" t="inlineStr">
        <x:is>
          <x:t xml:space="preserve">2025-04</x:t>
        </x:is>
      </x:c>
      <x:c r="C196" s="76" t="n">
        <x:v>1</x:v>
      </x:c>
      <x:c r="D196" s="76" t="n">
        <x:v>610</x:v>
      </x:c>
      <x:c r="E196" s="76" t="n">
        <x:v>0</x:v>
      </x:c>
      <x:c r="F196" s="76" t="n">
        <x:v>539</x:v>
      </x:c>
      <x:c r="G196" s="76" t="n">
        <x:v>0</x:v>
      </x:c>
      <x:c r="H196" s="76" t="n">
        <x:v>18</x:v>
      </x:c>
      <x:c r="I196" s="76" t="n">
        <x:v>2</x:v>
      </x:c>
      <x:c r="J196" s="76" t="n">
        <x:v>3</x:v>
      </x:c>
      <x:c r="K196" s="76" t="n">
        <x:v>23</x:v>
      </x:c>
      <x:c r="L196" s="70" t="inlineStr">
        <x:is>
          <x:t xml:space="preserve">media/other/17890986390124586.webp</x:t>
        </x:is>
      </x:c>
      <x:c r="M196" s="70" t="inlineStr">
        <x:is>
          <x:t xml:space="preserve">QUER TORNAR SEU NEGÓCIO RURAL MAIS PRÓSPERO, SUSTENTÁVEL E INOVADOR? CONTE com o apoio da nossa nova associada APORTE RURAL! Sob a liderança do Eng. Agrônomo Artur Pagnoncelli (na foto ao lado da Rakilândia Medeiros), a APORTE RURAL se destaca na elaboração de Laudos Técnicos Extrajudiciais e Judiciais no meio rural, além de desenvolver projetos personalizados para financiamento agropecuário. Com foco em agilidade, precisão técnica e experiência de campo, a empresa entrega soluções eficazes para quem quer gerir sua propriedade com mais segurança e visão estratégica. “Aqui na APORTE RURAL, você encontra as melhores opções de crédito rural para fazer uma gestão de verdade!”, garante Artur. Quer saber mais? Entre em contato e descubra como a APORTE RURAL pode te ajudar a crescer no campo! 📲 https://www.instagram.com/aporteruraloficial/ Fone: 64 9986-9004. PARABÉNS, E SEJA BEM-VINDO À ACIRV, APORTE RURAL!!! 👏👏</x:t>
        </x:is>
      </x:c>
    </x:row>
    <x:row r="197" s="39" customFormat="1" ht="298.1499938964844" customHeight="1">
      <x:c r="A197" s="80" t="n">
        <x:v>45775</x:v>
      </x:c>
      <x:c r="B197" s="70" t="inlineStr">
        <x:is>
          <x:t xml:space="preserve">2025-04</x:t>
        </x:is>
      </x:c>
      <x:c r="C197" s="76" t="n">
        <x:v>1</x:v>
      </x:c>
      <x:c r="D197" s="76" t="n">
        <x:v>1775</x:v>
      </x:c>
      <x:c r="E197" s="76" t="n">
        <x:v>0</x:v>
      </x:c>
      <x:c r="F197" s="76" t="n">
        <x:v>1626</x:v>
      </x:c>
      <x:c r="G197" s="76" t="n">
        <x:v>0</x:v>
      </x:c>
      <x:c r="H197" s="76" t="n">
        <x:v>39</x:v>
      </x:c>
      <x:c r="I197" s="76" t="n">
        <x:v>4</x:v>
      </x:c>
      <x:c r="J197" s="76" t="n">
        <x:v>1</x:v>
      </x:c>
      <x:c r="K197" s="76" t="n">
        <x:v>44</x:v>
      </x:c>
      <x:c r="L197" s="70" t="inlineStr">
        <x:is>
          <x:t xml:space="preserve">media/other/18048527441102405.webp</x:t>
        </x:is>
      </x:c>
      <x:c r="M197" s="70" t="inlineStr">
        <x:is>
          <x:t xml:space="preserve">EM SUA 2ª EDIÇÃO, O CONECTA ACIRV REUNE EMPRESÁRIOS E FOMENTA NOVAS PARCERIAS E OPORTUNIDADES DE NEGÓCIOS 
Realizado na sede da Associação no sábado pela manhã, o CONECTA ACIRV reuniu empresários de vários ramos de atividades, que estabeleceram conexões entre si, apresentando seus produtos, serviços e diferenciais competitivos, fechando negócios e movimentando assim a economia local. 
Diretora Geral do Projeto, Ádria Rocha explicou detalhes do evento: “A metodologia de troca de mesas trouxe novas conexões e oportunidades valiosas para todos os participantes. Foi um evento de colaboração e crescimento, onde juntos, conseguimos impulsionar ainda mais o empreendedorismo local!”
Presente, o vice-presidente de Comércio da ACIRV, José Carlos Cintra parabenizou a coordenadora Ádria Rocha e sua equipe pela organização e importância da iniciativa, onde os empresários puderam interagir diretamente entre si. Também presentes o Diretor Raphael Valongo, a Gerente Executiva Janaine Marquez e a Gestora Comercial Rakilândia Medeiros, dentre outros. 
Além de Ádria, a Diretoria do CONECTA ACIRV conta com as coordenadoras Fernanda Corrêa (Conteúdo), Mariana Duarte(Networking), Lara Dutra (Marketing) e Samara Guimarães (Logística).</x:t>
        </x:is>
      </x:c>
    </x:row>
    <x:row r="198" s="39" customFormat="1" ht="144.5500030517578" customHeight="1">
      <x:c r="A198" s="80" t="n">
        <x:v>45771</x:v>
      </x:c>
      <x:c r="B198" s="70" t="inlineStr">
        <x:is>
          <x:t xml:space="preserve">2025-04</x:t>
        </x:is>
      </x:c>
      <x:c r="C198" s="76" t="n">
        <x:v>2</x:v>
      </x:c>
      <x:c r="D198" s="76" t="n">
        <x:v>344</x:v>
      </x:c>
      <x:c r="E198" s="76" t="n">
        <x:v>0</x:v>
      </x:c>
      <x:c r="F198" s="76" t="n">
        <x:v>306</x:v>
      </x:c>
      <x:c r="G198" s="76" t="n">
        <x:v>0</x:v>
      </x:c>
      <x:c r="H198" s="76" t="n">
        <x:v>15</x:v>
      </x:c>
      <x:c r="I198" s="76" t="n">
        <x:v>1</x:v>
      </x:c>
      <x:c r="J198" s="76" t="n">
        <x:v>1</x:v>
      </x:c>
      <x:c r="K198" s="76" t="n">
        <x:v>17</x:v>
      </x:c>
      <x:c r="L198" s="70" t="inlineStr">
        <x:is>
          <x:t xml:space="preserve">media/other/17966298875884828.jpg</x:t>
        </x:is>
      </x:c>
      <x:c r="M198" s="70" t="inlineStr">
        <x:is>
          <x:t xml:space="preserve">📡 As melhores conexões não precisam de Wi-Fi!
🤝 Quem faz negócios sabe: grandes parcerias começam com um bom aperto de mão.
✨ No Conecta ACIRV, o foco é gente conectando com gente — olho no olho, ideia por ideia.
🗓️ 26 de abril | 🕢 A partir de 7h30
🔐 Exclusivo para associados
📬 Confirme sua participação e prepare seus cartões de visita!
https://forms.gle/EECQAG1XveGkito56</x:t>
        </x:is>
      </x:c>
    </x:row>
    <x:row r="199" s="39" customFormat="1" ht="134.3000030517578" customHeight="1">
      <x:c r="A199" s="80" t="n">
        <x:v>45771</x:v>
      </x:c>
      <x:c r="B199" s="70" t="inlineStr">
        <x:is>
          <x:t xml:space="preserve">2025-04</x:t>
        </x:is>
      </x:c>
      <x:c r="C199" s="76" t="n">
        <x:v>9</x:v>
      </x:c>
      <x:c r="D199" s="76" t="n">
        <x:v>1137</x:v>
      </x:c>
      <x:c r="E199" s="76" t="n">
        <x:v>1</x:v>
      </x:c>
      <x:c r="F199" s="76" t="n">
        <x:v>747</x:v>
      </x:c>
      <x:c r="G199" s="76" t="n">
        <x:v>2</x:v>
      </x:c>
      <x:c r="H199" s="76" t="n">
        <x:v>12</x:v>
      </x:c>
      <x:c r="I199" s="76" t="n">
        <x:v>0</x:v>
      </x:c>
      <x:c r="J199" s="76" t="n">
        <x:v>10</x:v>
      </x:c>
      <x:c r="K199" s="76" t="n">
        <x:v>24</x:v>
      </x:c>
      <x:c r="L199" s="70" t="inlineStr">
        <x:is>
          <x:t xml:space="preserve">media/other/18031993658639776.webp</x:t>
        </x:is>
      </x:c>
      <x:c r="M199" s="70" t="inlineStr">
        <x:is>
          <x:t xml:space="preserve">Participe da oficina "Faça Sucesso na era da Inteligência Artificial" e saiba quais as possíveis aplicações da Inteligência Artificial no dia a dia do seu Negócio.
Inscrições GRATUITAS, com vagas limitadas. Contamos com a sua presença.
LINK DE INSCRIÇÃO: https://beevent.sebraego.com.br/inscreva-se/173770063
🗓️ Data: 08/05/2025
 ⏰ Horário: 19:00
 📍 Local: ACIRV- Rua Dona Maricota. 199, Jardim Marconal.
Realização: Sebrae e ACIRV.</x:t>
        </x:is>
      </x:c>
    </x:row>
    <x:row r="200" s="39" customFormat="1" ht="15" customHeight="1">
      <x:c r="A200" s="80" t="n">
        <x:v>45771</x:v>
      </x:c>
      <x:c r="B200" s="70" t="inlineStr">
        <x:is>
          <x:t xml:space="preserve">2025-04</x:t>
        </x:is>
      </x:c>
      <x:c r="C200" s="76" t="n">
        <x:v>4</x:v>
      </x:c>
      <x:c r="D200" s="76" t="n">
        <x:v>671</x:v>
      </x:c>
      <x:c r="E200" s="76" t="n">
        <x:v>0</x:v>
      </x:c>
      <x:c r="F200" s="76" t="n">
        <x:v>526</x:v>
      </x:c>
      <x:c r="G200" s="76" t="n">
        <x:v>0</x:v>
      </x:c>
      <x:c r="H200" s="76" t="n">
        <x:v>4</x:v>
      </x:c>
      <x:c r="I200" s="76" t="n">
        <x:v>0</x:v>
      </x:c>
      <x:c r="J200" s="76" t="n">
        <x:v>1</x:v>
      </x:c>
      <x:c r="K200" s="76" t="n">
        <x:v>5</x:v>
      </x:c>
      <x:c r="L200" s="70" t="inlineStr">
        <x:is>
          <x:t xml:space="preserve">media/other/18472811317067913.webp</x:t>
        </x:is>
      </x:c>
      <x:c r="M200" s="70" t="n"/>
    </x:row>
    <x:row r="201" s="39" customFormat="1" ht="165.0500030517578" customHeight="1">
      <x:c r="A201" s="80" t="n">
        <x:v>45770</x:v>
      </x:c>
      <x:c r="B201" s="70" t="inlineStr">
        <x:is>
          <x:t xml:space="preserve">2025-04</x:t>
        </x:is>
      </x:c>
      <x:c r="C201" s="76" t="n">
        <x:v>2</x:v>
      </x:c>
      <x:c r="D201" s="76" t="n">
        <x:v>559</x:v>
      </x:c>
      <x:c r="E201" s="76" t="n">
        <x:v>0</x:v>
      </x:c>
      <x:c r="F201" s="76" t="n">
        <x:v>512</x:v>
      </x:c>
      <x:c r="G201" s="76" t="n">
        <x:v>0</x:v>
      </x:c>
      <x:c r="H201" s="76" t="n">
        <x:v>10</x:v>
      </x:c>
      <x:c r="I201" s="76" t="n">
        <x:v>0</x:v>
      </x:c>
      <x:c r="J201" s="76" t="n">
        <x:v>0</x:v>
      </x:c>
      <x:c r="K201" s="76" t="n">
        <x:v>10</x:v>
      </x:c>
      <x:c r="L201" s="70" t="inlineStr">
        <x:is>
          <x:t xml:space="preserve">media/other/17854796541378052.webp</x:t>
        </x:is>
      </x:c>
      <x:c r="M201" s="70" t="inlineStr">
        <x:is>
          <x:t xml:space="preserve">AMIGO EMPRESÁRIO, ESTÁ  COM ansiedade, procrastinação, insônia, depressão leve, fobias, vícios, compulsões ou apresenta sintomas/comportamentos prejudiciais com fundo emocional? HORA então de procurar nossa nova associada, a Hipnoterapeuta GEOVANA COELHO! Conforme a Geovana, aqui ao lado da nossa Rakilândia Medeiros, a Hipnoterapia trabalha no inconsciente da pessoa, atualizando referências e promovendo mudanças em padrões de pensamento e comportamento. A Geovana atua nas áreas de gestão emocional e também financeira, que são imprescindíveis para garantir o bem-estar e qualidade de vida das pessoas. Ela é terapeuta há 6 anos, é especializada em Hipnoterapia com base em Neurociência e está finalizando a graduação em Gestão Financeira. Gostou? Fale agora com a Geovana, o fone é o 64 99258-6484. Instagram: @gecoelhos. PARABÉNS, E SEJA BEM-VINDA À ACIRV, GEOVANA COELHO!!! 👏👏</x:t>
        </x:is>
      </x:c>
    </x:row>
    <x:row r="202" s="39" customFormat="1" ht="287.95001220703125" customHeight="1">
      <x:c r="A202" s="80" t="n">
        <x:v>45770</x:v>
      </x:c>
      <x:c r="B202" s="70" t="inlineStr">
        <x:is>
          <x:t xml:space="preserve">2025-04</x:t>
        </x:is>
      </x:c>
      <x:c r="C202" s="76" t="n">
        <x:v>0</x:v>
      </x:c>
      <x:c r="D202" s="76" t="n">
        <x:v>516</x:v>
      </x:c>
      <x:c r="E202" s="76" t="n">
        <x:v>0</x:v>
      </x:c>
      <x:c r="F202" s="76" t="n">
        <x:v>463</x:v>
      </x:c>
      <x:c r="G202" s="76" t="n">
        <x:v>0</x:v>
      </x:c>
      <x:c r="H202" s="76" t="n">
        <x:v>3</x:v>
      </x:c>
      <x:c r="I202" s="76" t="n">
        <x:v>0</x:v>
      </x:c>
      <x:c r="J202" s="76" t="n">
        <x:v>2</x:v>
      </x:c>
      <x:c r="K202" s="76" t="n">
        <x:v>5</x:v>
      </x:c>
      <x:c r="L202" s="70" t="inlineStr">
        <x:is>
          <x:t xml:space="preserve">media/other/18054257560998901.webp</x:t>
        </x:is>
      </x:c>
      <x:c r="M202" s="70" t="inlineStr">
        <x:is>
          <x:t xml:space="preserve">É HOJE!!! ATENÇÃO ASSOCIADO ACIRV: VACINE-SE COM DESCONTO!
A vacina Tetravalente ofertada apenas na rede particular exerce a cobertura mais completa do mercado incluindo as cepas contra H1N1, H3N2 + 2 tipos de influenza do tipo B. Os imunizantes são seguros e compostos por cepas inativas do vírus da influenza sendo atualizados anualmente, devido à mutação viral. De maneira geral, são indicados para todas as pessoas a partir dos 6 meses de idade.
✔ Não deixe de se vacinar contra a gripe. Imunize-se!
Mais informações no telefone: (64) 3613 - 2828
VACINA CONTRA A GRIPE
DIA 23 DE ABRIL
Das 8h às 17h30
Local: Sede da ACIRV
✔ Associados ACIRV terão desconto especial!
✔ Não deixe de se vacinar contra a gripe. Imunize-se!
Mais informações no telefone: (64) 3613 - 2828
#vacinas #influenza #acirv #rioverde #rioverdego #rioverdegoias</x:t>
        </x:is>
      </x:c>
    </x:row>
    <x:row r="203" s="39" customFormat="1" ht="144.5500030517578" customHeight="1">
      <x:c r="A203" s="80" t="n">
        <x:v>45769</x:v>
      </x:c>
      <x:c r="B203" s="70" t="inlineStr">
        <x:is>
          <x:t xml:space="preserve">2025-04</x:t>
        </x:is>
      </x:c>
      <x:c r="C203" s="76" t="n">
        <x:v>0</x:v>
      </x:c>
      <x:c r="D203" s="76" t="n">
        <x:v>795</x:v>
      </x:c>
      <x:c r="E203" s="76" t="n">
        <x:v>0</x:v>
      </x:c>
      <x:c r="F203" s="76" t="n">
        <x:v>749</x:v>
      </x:c>
      <x:c r="G203" s="76" t="n">
        <x:v>0</x:v>
      </x:c>
      <x:c r="H203" s="76" t="n">
        <x:v>15</x:v>
      </x:c>
      <x:c r="I203" s="76" t="n">
        <x:v>0</x:v>
      </x:c>
      <x:c r="J203" s="76" t="n">
        <x:v>0</x:v>
      </x:c>
      <x:c r="K203" s="76" t="n">
        <x:v>15</x:v>
      </x:c>
      <x:c r="L203" s="70" t="inlineStr">
        <x:is>
          <x:t xml:space="preserve">media/other/18062330615036634.webp</x:t>
        </x:is>
      </x:c>
      <x:c r="M203" s="70" t="inlineStr">
        <x:is>
          <x:t xml:space="preserve">E AÍ, SEU COLCHÃO ESTÁ TODO DETONADO? ENTÃO não perca tempo, procure agora mesmo a nossa mais nova Associada, a LORENA COLCHÕES! Segundo a sócia proprietária da loja, a Lorena Nogueira, aqui ao lado da nossa Rakilândia Medeiros, trocar de colchão não é só uma questão de conforto, é um investimento em sua saúde física e mental! E na LORENA COLCHÕES você vai encontrar colchões de marcas incríveis! Só lembrando: Um sono de qualidade melhora o humor, fortalece a imunidade e recarrega o corpo e a mente. Dormir bem, é cuidar de você! A loja fica na AV. Presidente Vargas, 632, em frente a Big Lar. Quer mais detalhes? Fale agora com a Lorena pelo WhatsApp: 64 9224-0660. instagram.com/lorena_colchoesrioverde/. PARABÉNS, E SEJA BEM-VINDA À ACIRV, LORENA COLCHÕES!! 👏👏</x:t>
        </x:is>
      </x:c>
    </x:row>
    <x:row r="204" s="39" customFormat="1" ht="175.3000030517578" customHeight="1">
      <x:c r="A204" s="80" t="n">
        <x:v>45769</x:v>
      </x:c>
      <x:c r="B204" s="70" t="inlineStr">
        <x:is>
          <x:t xml:space="preserve">2025-04</x:t>
        </x:is>
      </x:c>
      <x:c r="C204" s="76" t="n">
        <x:v>9</x:v>
      </x:c>
      <x:c r="D204" s="76" t="n">
        <x:v>1136</x:v>
      </x:c>
      <x:c r="E204" s="76" t="n">
        <x:v>1</x:v>
      </x:c>
      <x:c r="F204" s="76" t="n">
        <x:v>829</x:v>
      </x:c>
      <x:c r="G204" s="76" t="n">
        <x:v>1</x:v>
      </x:c>
      <x:c r="H204" s="76" t="n">
        <x:v>23</x:v>
      </x:c>
      <x:c r="I204" s="76" t="n">
        <x:v>0</x:v>
      </x:c>
      <x:c r="J204" s="76" t="n">
        <x:v>8</x:v>
      </x:c>
      <x:c r="K204" s="76" t="n">
        <x:v>32</x:v>
      </x:c>
      <x:c r="L204" s="70" t="inlineStr">
        <x:is>
          <x:t xml:space="preserve">media/other/18056313671181894.webp</x:t>
        </x:is>
      </x:c>
      <x:c r="M204" s="70" t="inlineStr">
        <x:is>
          <x:t xml:space="preserve">📬 Você está convidado para um dos encontros empresariais mais estratégicos do ano!
🌐 O Conecta ACIRV é um evento gratuito e exclusivo para associados, com foco em gerar negócios, parcerias e novas possibilidades.
🗓️ 26 de abril | 🕢 A partir de 7h30
📍 Local: ACIRV
🤝 Conecte-se com quem também faz a diferença em Rio Verde!
⚠️ POUCAS VAGAS, e somente 2 empresários do mesmo segmento por vaga.
🔗 Faça sua inscrição o quanto antes pelo link abaixo
https://forms.gle/EECQAG1XveGkito56</x:t>
        </x:is>
      </x:c>
    </x:row>
  </x:sheetData>
  <x:mergeCells>
    <x:mergeCell ref="A2:M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0" style="67" customWidth="1"/>
    <x:col min="3" max="3" width="12" style="67" customWidth="1"/>
    <x:col min="4" max="5" width="19" style="67" customWidth="1"/>
  </x:cols>
  <x:sheetData>
    <x:row r="1" s="39" customFormat="1" ht="20.450000762939453" customHeight="1">
      <x:c r="A1" s="68" t="inlineStr">
        <x:is>
          <x:t xml:space="preserve">Instagram 200 Mensal</x:t>
        </x:is>
      </x:c>
    </x:row>
    <x:row r="2" s="39" customFormat="1" ht="15" customHeight="1">
      <x:c r="A2" s="74" t="inlineStr">
        <x:is>
          <x:t xml:space="preserve">Resumo mensal agregado a partir de posts.json.</x:t>
        </x:is>
      </x:c>
    </x:row>
    <x:row r="4" s="39" customFormat="1" ht="15" customHeight="1">
      <x:c r="A4" s="69" t="inlineStr">
        <x:is>
          <x:t xml:space="preserve">month</x:t>
        </x:is>
      </x:c>
      <x:c r="B4" s="69" t="inlineStr">
        <x:is>
          <x:t xml:space="preserve">posts</x:t>
        </x:is>
      </x:c>
      <x:c r="C4" s="69" t="inlineStr">
        <x:is>
          <x:t xml:space="preserve">impressoes</x:t>
        </x:is>
      </x:c>
      <x:c r="D4" s="69" t="inlineStr">
        <x:is>
          <x:t xml:space="preserve">contas_alcancadas</x:t>
        </x:is>
      </x:c>
      <x:c r="E4" s="69" t="inlineStr">
        <x:is>
          <x:t xml:space="preserve">acoes_engajamento</x:t>
        </x:is>
      </x:c>
    </x:row>
    <x:row r="5" s="39" customFormat="1" ht="15" customHeight="1">
      <x:c r="A5" s="70" t="inlineStr">
        <x:is>
          <x:t xml:space="preserve">2025-04</x:t>
        </x:is>
      </x:c>
      <x:c r="B5" s="76" t="n">
        <x:v>11</x:v>
      </x:c>
      <x:c r="C5" s="76" t="n">
        <x:v>9386</x:v>
      </x:c>
      <x:c r="D5" s="76" t="n">
        <x:v>7950</x:v>
      </x:c>
      <x:c r="E5" s="76" t="n">
        <x:v>217</x:v>
      </x:c>
    </x:row>
    <x:row r="6" s="39" customFormat="1" ht="15" customHeight="1">
      <x:c r="A6" s="70" t="inlineStr">
        <x:is>
          <x:t xml:space="preserve">2025-05</x:t>
        </x:is>
      </x:c>
      <x:c r="B6" s="76" t="n">
        <x:v>21</x:v>
      </x:c>
      <x:c r="C6" s="76" t="n">
        <x:v>28740</x:v>
      </x:c>
      <x:c r="D6" s="76" t="n">
        <x:v>22207</x:v>
      </x:c>
      <x:c r="E6" s="76" t="n">
        <x:v>1032</x:v>
      </x:c>
    </x:row>
    <x:row r="7" s="39" customFormat="1" ht="15" customHeight="1">
      <x:c r="A7" s="70" t="inlineStr">
        <x:is>
          <x:t xml:space="preserve">2025-06</x:t>
        </x:is>
      </x:c>
      <x:c r="B7" s="76" t="n">
        <x:v>18</x:v>
      </x:c>
      <x:c r="C7" s="76" t="n">
        <x:v>19673</x:v>
      </x:c>
      <x:c r="D7" s="76" t="n">
        <x:v>17172</x:v>
      </x:c>
      <x:c r="E7" s="76" t="n">
        <x:v>602</x:v>
      </x:c>
    </x:row>
    <x:row r="8" s="39" customFormat="1" ht="15" customHeight="1">
      <x:c r="A8" s="70" t="inlineStr">
        <x:is>
          <x:t xml:space="preserve">2025-07</x:t>
        </x:is>
      </x:c>
      <x:c r="B8" s="76" t="n">
        <x:v>11</x:v>
      </x:c>
      <x:c r="C8" s="76" t="n">
        <x:v>44415</x:v>
      </x:c>
      <x:c r="D8" s="76" t="n">
        <x:v>33987</x:v>
      </x:c>
      <x:c r="E8" s="76" t="n">
        <x:v>428</x:v>
      </x:c>
    </x:row>
    <x:row r="9" s="39" customFormat="1" ht="15" customHeight="1">
      <x:c r="A9" s="70" t="inlineStr">
        <x:is>
          <x:t xml:space="preserve">2025-08</x:t>
        </x:is>
      </x:c>
      <x:c r="B9" s="76" t="n">
        <x:v>16</x:v>
      </x:c>
      <x:c r="C9" s="76" t="n">
        <x:v>17001</x:v>
      </x:c>
      <x:c r="D9" s="76" t="n">
        <x:v>7694</x:v>
      </x:c>
      <x:c r="E9" s="76" t="n">
        <x:v>448</x:v>
      </x:c>
    </x:row>
    <x:row r="10" s="39" customFormat="1" ht="15" customHeight="1">
      <x:c r="A10" s="70" t="inlineStr">
        <x:is>
          <x:t xml:space="preserve">2025-09</x:t>
        </x:is>
      </x:c>
      <x:c r="B10" s="76" t="n">
        <x:v>31</x:v>
      </x:c>
      <x:c r="C10" s="76" t="n">
        <x:v>42735</x:v>
      </x:c>
      <x:c r="D10" s="76" t="n">
        <x:v>35613</x:v>
      </x:c>
      <x:c r="E10" s="76" t="n">
        <x:v>1839</x:v>
      </x:c>
    </x:row>
    <x:row r="11" s="39" customFormat="1" ht="15" customHeight="1">
      <x:c r="A11" s="70" t="inlineStr">
        <x:is>
          <x:t xml:space="preserve">2025-10</x:t>
        </x:is>
      </x:c>
      <x:c r="B11" s="76" t="n">
        <x:v>32</x:v>
      </x:c>
      <x:c r="C11" s="76" t="n">
        <x:v>34136</x:v>
      </x:c>
      <x:c r="D11" s="76" t="n">
        <x:v>28802</x:v>
      </x:c>
      <x:c r="E11" s="76" t="n">
        <x:v>1271</x:v>
      </x:c>
    </x:row>
    <x:row r="12" s="39" customFormat="1" ht="15" customHeight="1">
      <x:c r="A12" s="70" t="inlineStr">
        <x:is>
          <x:t xml:space="preserve">2025-11</x:t>
        </x:is>
      </x:c>
      <x:c r="B12" s="76" t="n">
        <x:v>11</x:v>
      </x:c>
      <x:c r="C12" s="76" t="n">
        <x:v>6720</x:v>
      </x:c>
      <x:c r="D12" s="76" t="n">
        <x:v>5589</x:v>
      </x:c>
      <x:c r="E12" s="76" t="n">
        <x:v>242</x:v>
      </x:c>
    </x:row>
    <x:row r="13" s="39" customFormat="1" ht="15" customHeight="1">
      <x:c r="A13" s="70" t="inlineStr">
        <x:is>
          <x:t xml:space="preserve">2025-12</x:t>
        </x:is>
      </x:c>
      <x:c r="B13" s="76" t="n">
        <x:v>11</x:v>
      </x:c>
      <x:c r="C13" s="76" t="n">
        <x:v>43488</x:v>
      </x:c>
      <x:c r="D13" s="76" t="n">
        <x:v>27839</x:v>
      </x:c>
      <x:c r="E13" s="76" t="n">
        <x:v>335</x:v>
      </x:c>
    </x:row>
    <x:row r="14" s="39" customFormat="1" ht="15" customHeight="1">
      <x:c r="A14" s="70" t="inlineStr">
        <x:is>
          <x:t xml:space="preserve">2026-01</x:t>
        </x:is>
      </x:c>
      <x:c r="B14" s="76" t="n">
        <x:v>6</x:v>
      </x:c>
      <x:c r="C14" s="76" t="n">
        <x:v>6441</x:v>
      </x:c>
      <x:c r="D14" s="76" t="n">
        <x:v>5490</x:v>
      </x:c>
      <x:c r="E14" s="76" t="n">
        <x:v>116</x:v>
      </x:c>
    </x:row>
    <x:row r="15" s="39" customFormat="1" ht="15" customHeight="1">
      <x:c r="A15" s="70" t="inlineStr">
        <x:is>
          <x:t xml:space="preserve">2026-02</x:t>
        </x:is>
      </x:c>
      <x:c r="B15" s="76" t="n">
        <x:v>8</x:v>
      </x:c>
      <x:c r="C15" s="76" t="n">
        <x:v>9715</x:v>
      </x:c>
      <x:c r="D15" s="76" t="n">
        <x:v>7025</x:v>
      </x:c>
      <x:c r="E15" s="76" t="n">
        <x:v>280</x:v>
      </x:c>
    </x:row>
    <x:row r="16" s="39" customFormat="1" ht="15" customHeight="1">
      <x:c r="A16" s="70" t="inlineStr">
        <x:is>
          <x:t xml:space="preserve">2026-03</x:t>
        </x:is>
      </x:c>
      <x:c r="B16" s="76" t="n">
        <x:v>17</x:v>
      </x:c>
      <x:c r="C16" s="76" t="n">
        <x:v>11027</x:v>
      </x:c>
      <x:c r="D16" s="76" t="n">
        <x:v>9111</x:v>
      </x:c>
      <x:c r="E16" s="76" t="n">
        <x:v>407</x:v>
      </x:c>
    </x:row>
    <x:row r="17" s="39" customFormat="1" ht="15" customHeight="1">
      <x:c r="A17" s="70" t="inlineStr">
        <x:is>
          <x:t xml:space="preserve">2026-04</x:t>
        </x:is>
      </x:c>
      <x:c r="B17" s="76" t="n">
        <x:v>7</x:v>
      </x:c>
      <x:c r="C17" s="76" t="n">
        <x:v>1916</x:v>
      </x:c>
      <x:c r="D17" s="76" t="n">
        <x:v>1692</x:v>
      </x:c>
      <x:c r="E17" s="76" t="n">
        <x:v>88</x:v>
      </x:c>
    </x:row>
  </x:sheetData>
  <x:mergeCells>
    <x:mergeCell ref="A2:E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ColWidth="8.54296875" defaultRowHeight="15"/>
  <x:cols>
    <x:col min="1" max="1" width="36" style="67" customWidth="1"/>
    <x:col min="2" max="2" width="35" style="67" customWidth="1"/>
    <x:col min="3" max="3" width="16" style="67" customWidth="1"/>
    <x:col min="4" max="4" width="11" style="67" customWidth="1"/>
    <x:col min="5" max="5" width="16" style="67" customWidth="1"/>
  </x:cols>
  <x:sheetData>
    <x:row r="1" s="39" customFormat="1" ht="20.450000762939453" customHeight="1">
      <x:c r="A1" s="68" t="inlineStr">
        <x:is>
          <x:t xml:space="preserve">Instagram 90d Resumo</x:t>
        </x:is>
      </x:c>
    </x:row>
    <x:row r="2" s="39" customFormat="1" ht="15" customHeight="1">
      <x:c r="A2" s="74" t="inlineStr">
        <x:is>
          <x:t xml:space="preserve">Período do export: Jan 10 - Apr 9.</x:t>
        </x:is>
      </x:c>
    </x:row>
    <x:row r="4" s="39" customFormat="1" ht="15" customHeight="1">
      <x:c r="A4" s="69" t="inlineStr">
        <x:is>
          <x:t xml:space="preserve">grupo</x:t>
        </x:is>
      </x:c>
      <x:c r="B4" s="69" t="inlineStr">
        <x:is>
          <x:t xml:space="preserve">metrica</x:t>
        </x:is>
      </x:c>
      <x:c r="C4" s="69" t="inlineStr">
        <x:is>
          <x:t xml:space="preserve">valor_numerico</x:t>
        </x:is>
      </x:c>
      <x:c r="D4" s="69" t="inlineStr">
        <x:is>
          <x:t xml:space="preserve">valor_raw</x:t>
        </x:is>
      </x:c>
      <x:c r="E4" s="69" t="inlineStr">
        <x:is>
          <x:t xml:space="preserve">periodo</x:t>
        </x:is>
      </x:c>
    </x:row>
    <x:row r="5" s="39" customFormat="1" ht="15" customHeight="1">
      <x:c r="A5" s="70" t="inlineStr">
        <x:is>
          <x:t xml:space="preserve">Alcance</x:t>
        </x:is>
      </x:c>
      <x:c r="B5" s="70" t="inlineStr">
        <x:is>
          <x:t xml:space="preserve">Contas alcançadas</x:t>
        </x:is>
      </x:c>
      <x:c r="C5" s="83" t="n">
        <x:v>211235</x:v>
      </x:c>
      <x:c r="D5" s="83" t="inlineStr">
        <x:is>
          <x:t xml:space="preserve">211235</x:t>
        </x:is>
      </x:c>
      <x:c r="E5" s="70" t="inlineStr">
        <x:is>
          <x:t xml:space="preserve">Jan 10 - Apr 9</x:t>
        </x:is>
      </x:c>
    </x:row>
    <x:row r="6" s="39" customFormat="1" ht="15" customHeight="1">
      <x:c r="A6" s="70" t="inlineStr">
        <x:is>
          <x:t xml:space="preserve">Alcance</x:t>
        </x:is>
      </x:c>
      <x:c r="B6" s="70" t="inlineStr">
        <x:is>
          <x:t xml:space="preserve">Impressões</x:t>
        </x:is>
      </x:c>
      <x:c r="C6" s="83" t="n">
        <x:v>657084</x:v>
      </x:c>
      <x:c r="D6" s="83" t="inlineStr">
        <x:is>
          <x:t xml:space="preserve">657,084</x:t>
        </x:is>
      </x:c>
      <x:c r="E6" s="70" t="inlineStr">
        <x:is>
          <x:t xml:space="preserve">Jan 10 - Apr 9</x:t>
        </x:is>
      </x:c>
    </x:row>
    <x:row r="7" s="39" customFormat="1" ht="15" customHeight="1">
      <x:c r="A7" s="70" t="inlineStr">
        <x:is>
          <x:t xml:space="preserve">Alcance</x:t>
        </x:is>
      </x:c>
      <x:c r="B7" s="70" t="inlineStr">
        <x:is>
          <x:t xml:space="preserve">Visitas ao perfil</x:t>
        </x:is>
      </x:c>
      <x:c r="C7" s="83" t="n">
        <x:v>8841</x:v>
      </x:c>
      <x:c r="D7" s="83" t="inlineStr">
        <x:is>
          <x:t xml:space="preserve">8,841</x:t>
        </x:is>
      </x:c>
      <x:c r="E7" s="70" t="inlineStr">
        <x:is>
          <x:t xml:space="preserve">Jan 10 - Apr 9</x:t>
        </x:is>
      </x:c>
    </x:row>
    <x:row r="8" s="39" customFormat="1" ht="15" customHeight="1">
      <x:c r="A8" s="70" t="inlineStr">
        <x:is>
          <x:t xml:space="preserve">Alcance</x:t>
        </x:is>
      </x:c>
      <x:c r="B8" s="70" t="inlineStr">
        <x:is>
          <x:t xml:space="preserve">Toques em links externos</x:t>
        </x:is>
      </x:c>
      <x:c r="C8" s="83" t="n">
        <x:v>328</x:v>
      </x:c>
      <x:c r="D8" s="83" t="inlineStr">
        <x:is>
          <x:t xml:space="preserve">328</x:t>
        </x:is>
      </x:c>
      <x:c r="E8" s="70" t="inlineStr">
        <x:is>
          <x:t xml:space="preserve">Jan 10 - Apr 9</x:t>
        </x:is>
      </x:c>
    </x:row>
    <x:row r="9" s="39" customFormat="1" ht="15" customHeight="1">
      <x:c r="A9" s="70" t="inlineStr">
        <x:is>
          <x:t xml:space="preserve">Interações</x:t>
        </x:is>
      </x:c>
      <x:c r="B9" s="70" t="inlineStr">
        <x:is>
          <x:t xml:space="preserve">Interações com o conteúdo</x:t>
        </x:is>
      </x:c>
      <x:c r="C9" s="83" t="n">
        <x:v>7988</x:v>
      </x:c>
      <x:c r="D9" s="83" t="inlineStr">
        <x:is>
          <x:t xml:space="preserve">7,988</x:t>
        </x:is>
      </x:c>
      <x:c r="E9" s="70" t="inlineStr">
        <x:is>
          <x:t xml:space="preserve">Jan 10 - Apr 9</x:t>
        </x:is>
      </x:c>
    </x:row>
    <x:row r="10" s="39" customFormat="1" ht="15" customHeight="1">
      <x:c r="A10" s="70" t="inlineStr">
        <x:is>
          <x:t xml:space="preserve">Interações</x:t>
        </x:is>
      </x:c>
      <x:c r="B10" s="70" t="inlineStr">
        <x:is>
          <x:t xml:space="preserve">Contas com engajamento</x:t>
        </x:is>
      </x:c>
      <x:c r="C10" s="83" t="n">
        <x:v>2888</x:v>
      </x:c>
      <x:c r="D10" s="83" t="inlineStr">
        <x:is>
          <x:t xml:space="preserve">2,888</x:t>
        </x:is>
      </x:c>
      <x:c r="E10" s="70" t="inlineStr">
        <x:is>
          <x:t xml:space="preserve">Jan 10 - Apr 9</x:t>
        </x:is>
      </x:c>
    </x:row>
    <x:row r="11" s="39" customFormat="1" ht="15" customHeight="1">
      <x:c r="A11" s="70" t="inlineStr">
        <x:is>
          <x:t xml:space="preserve">Audiência</x:t>
        </x:is>
      </x:c>
      <x:c r="B11" s="70" t="inlineStr">
        <x:is>
          <x:t xml:space="preserve">Seguidores ganhos</x:t>
        </x:is>
      </x:c>
      <x:c r="C11" s="83" t="n">
        <x:v>810</x:v>
      </x:c>
      <x:c r="D11" s="83" t="inlineStr">
        <x:is>
          <x:t xml:space="preserve">810</x:t>
        </x:is>
      </x:c>
      <x:c r="E11" s="70" t="inlineStr">
        <x:is>
          <x:t xml:space="preserve">Jan 10 - Apr 9</x:t>
        </x:is>
      </x:c>
    </x:row>
    <x:row r="12" s="39" customFormat="1" ht="15" customHeight="1">
      <x:c r="A12" s="70" t="inlineStr">
        <x:is>
          <x:t xml:space="preserve">Audiência</x:t>
        </x:is>
      </x:c>
      <x:c r="B12" s="70" t="inlineStr">
        <x:is>
          <x:t xml:space="preserve">Deixaram de seguir</x:t>
        </x:is>
      </x:c>
      <x:c r="C12" s="83" t="n">
        <x:v>261</x:v>
      </x:c>
      <x:c r="D12" s="83" t="inlineStr">
        <x:is>
          <x:t xml:space="preserve">261</x:t>
        </x:is>
      </x:c>
      <x:c r="E12" s="70" t="inlineStr">
        <x:is>
          <x:t xml:space="preserve">Jan 10 - Apr 9</x:t>
        </x:is>
      </x:c>
    </x:row>
    <x:row r="13" s="39" customFormat="1" ht="15" customHeight="1">
      <x:c r="A13" s="70" t="inlineStr">
        <x:is>
          <x:t xml:space="preserve">Audiência</x:t>
        </x:is>
      </x:c>
      <x:c r="B13" s="70" t="inlineStr">
        <x:is>
          <x:t xml:space="preserve">Crescimento líquido de seguidores</x:t>
        </x:is>
      </x:c>
      <x:c r="C13" s="83" t="n">
        <x:v>549</x:v>
      </x:c>
      <x:c r="D13" s="83" t="inlineStr">
        <x:is>
          <x:t xml:space="preserve">549</x:t>
        </x:is>
      </x:c>
      <x:c r="E13" s="70" t="inlineStr">
        <x:is>
          <x:t xml:space="preserve">Jan 10 - Apr 9</x:t>
        </x:is>
      </x:c>
    </x:row>
    <x:row r="14" s="39" customFormat="1" ht="15" customHeight="1">
      <x:c r="A14" s="70" t="inlineStr">
        <x:is>
          <x:t xml:space="preserve">Audiência</x:t>
        </x:is>
      </x:c>
      <x:c r="B14" s="70" t="inlineStr">
        <x:is>
          <x:t xml:space="preserve">% homens</x:t>
        </x:is>
      </x:c>
      <x:c r="C14" s="83" t="n">
        <x:v>0.423</x:v>
      </x:c>
      <x:c r="D14" s="83" t="inlineStr">
        <x:is>
          <x:t xml:space="preserve">42.3%</x:t>
        </x:is>
      </x:c>
      <x:c r="E14" s="70" t="inlineStr">
        <x:is>
          <x:t xml:space="preserve">Jan 10 - Apr 9</x:t>
        </x:is>
      </x:c>
    </x:row>
    <x:row r="15" s="39" customFormat="1" ht="15" customHeight="1">
      <x:c r="A15" s="70" t="inlineStr">
        <x:is>
          <x:t xml:space="preserve">Audiência</x:t>
        </x:is>
      </x:c>
      <x:c r="B15" s="70" t="inlineStr">
        <x:is>
          <x:t xml:space="preserve">% mulheres</x:t>
        </x:is>
      </x:c>
      <x:c r="C15" s="83" t="n">
        <x:v>0.576</x:v>
      </x:c>
      <x:c r="D15" s="83" t="inlineStr">
        <x:is>
          <x:t xml:space="preserve">57.6%</x:t>
        </x:is>
      </x:c>
      <x:c r="E15" s="70" t="inlineStr">
        <x:is>
          <x:t xml:space="preserve">Jan 10 - Apr 9</x:t>
        </x:is>
      </x:c>
    </x:row>
  </x:sheetData>
  <x:mergeCells>
    <x:mergeCell ref="A2:E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ColWidth="8.54296875" defaultRowHeight="15"/>
  <x:cols>
    <x:col min="1" max="1" width="43" style="67" customWidth="1"/>
    <x:col min="2" max="2" width="23" style="67" customWidth="1"/>
    <x:col min="3" max="3" width="22" style="67" customWidth="1"/>
    <x:col min="4" max="4" width="16" style="67" customWidth="1"/>
  </x:cols>
  <x:sheetData>
    <x:row r="1" s="39" customFormat="1" ht="20.450000762939453" customHeight="1">
      <x:c r="A1" s="68" t="inlineStr">
        <x:is>
          <x:t xml:space="preserve">Instagram 90d Demografia</x:t>
        </x:is>
      </x:c>
    </x:row>
    <x:row r="2" s="39" customFormat="1" ht="15" customHeight="1">
      <x:c r="A2" s="74" t="inlineStr">
        <x:is>
          <x:t xml:space="preserve">Cidade, país e faixas etárias por gênero.</x:t>
        </x:is>
      </x:c>
    </x:row>
    <x:row r="4" s="39" customFormat="1" ht="15" customHeight="1">
      <x:c r="A4" s="69" t="inlineStr">
        <x:is>
          <x:t xml:space="preserve">grupo</x:t>
        </x:is>
      </x:c>
      <x:c r="B4" s="69" t="inlineStr">
        <x:is>
          <x:t xml:space="preserve">item</x:t>
        </x:is>
      </x:c>
      <x:c r="C4" s="69" t="inlineStr">
        <x:is>
          <x:t xml:space="preserve">percentual</x:t>
        </x:is>
      </x:c>
      <x:c r="D4" s="69" t="inlineStr">
        <x:is>
          <x:t xml:space="preserve">periodo</x:t>
        </x:is>
      </x:c>
    </x:row>
    <x:row r="5" s="39" customFormat="1" ht="15" customHeight="1">
      <x:c r="A5" s="70" t="inlineStr">
        <x:is>
          <x:t xml:space="preserve">Cidade</x:t>
        </x:is>
      </x:c>
      <x:c r="B5" s="70" t="inlineStr">
        <x:is>
          <x:t xml:space="preserve">Rio Verde</x:t>
        </x:is>
      </x:c>
      <x:c r="C5" s="78" t="n">
        <x:v>0.728</x:v>
      </x:c>
      <x:c r="D5" s="70" t="inlineStr">
        <x:is>
          <x:t xml:space="preserve">Jan 10 - Apr 9</x:t>
        </x:is>
      </x:c>
    </x:row>
    <x:row r="6" s="39" customFormat="1" ht="15" customHeight="1">
      <x:c r="A6" s="70" t="inlineStr">
        <x:is>
          <x:t xml:space="preserve">Cidade</x:t>
        </x:is>
      </x:c>
      <x:c r="B6" s="70" t="inlineStr">
        <x:is>
          <x:t xml:space="preserve">Goinia</x:t>
        </x:is>
      </x:c>
      <x:c r="C6" s="78" t="n">
        <x:v>0.052</x:v>
      </x:c>
      <x:c r="D6" s="70" t="inlineStr">
        <x:is>
          <x:t xml:space="preserve">Jan 10 - Apr 9</x:t>
        </x:is>
      </x:c>
    </x:row>
    <x:row r="7" s="39" customFormat="1" ht="15" customHeight="1">
      <x:c r="A7" s="70" t="inlineStr">
        <x:is>
          <x:t xml:space="preserve">Cidade</x:t>
        </x:is>
      </x:c>
      <x:c r="B7" s="70" t="inlineStr">
        <x:is>
          <x:t xml:space="preserve">Santa Helena de Goiás</x:t>
        </x:is>
      </x:c>
      <x:c r="C7" s="78" t="n">
        <x:v>0.016</x:v>
      </x:c>
      <x:c r="D7" s="70" t="inlineStr">
        <x:is>
          <x:t xml:space="preserve">Jan 10 - Apr 9</x:t>
        </x:is>
      </x:c>
    </x:row>
    <x:row r="8" s="39" customFormat="1" ht="15" customHeight="1">
      <x:c r="A8" s="70" t="inlineStr">
        <x:is>
          <x:t xml:space="preserve">Cidade</x:t>
        </x:is>
      </x:c>
      <x:c r="B8" s="70" t="inlineStr">
        <x:is>
          <x:t xml:space="preserve">Jataí</x:t>
        </x:is>
      </x:c>
      <x:c r="C8" s="78" t="n">
        <x:v>0.016</x:v>
      </x:c>
      <x:c r="D8" s="70" t="inlineStr">
        <x:is>
          <x:t xml:space="preserve">Jan 10 - Apr 9</x:t>
        </x:is>
      </x:c>
    </x:row>
    <x:row r="9" s="39" customFormat="1" ht="15" customHeight="1">
      <x:c r="A9" s="70" t="inlineStr">
        <x:is>
          <x:t xml:space="preserve">Cidade</x:t>
        </x:is>
      </x:c>
      <x:c r="B9" s="70" t="inlineStr">
        <x:is>
          <x:t xml:space="preserve">Montividiu</x:t>
        </x:is>
      </x:c>
      <x:c r="C9" s="78" t="n">
        <x:v>0.008</x:v>
      </x:c>
      <x:c r="D9" s="70" t="inlineStr">
        <x:is>
          <x:t xml:space="preserve">Jan 10 - Apr 9</x:t>
        </x:is>
      </x:c>
    </x:row>
    <x:row r="10" s="39" customFormat="1" ht="15" customHeight="1">
      <x:c r="A10" s="70" t="inlineStr">
        <x:is>
          <x:t xml:space="preserve">País</x:t>
        </x:is>
      </x:c>
      <x:c r="B10" s="70" t="inlineStr">
        <x:is>
          <x:t xml:space="preserve">Brazil</x:t>
        </x:is>
      </x:c>
      <x:c r="C10" s="78" t="n">
        <x:v>0.995</x:v>
      </x:c>
      <x:c r="D10" s="70" t="inlineStr">
        <x:is>
          <x:t xml:space="preserve">Jan 10 - Apr 9</x:t>
        </x:is>
      </x:c>
    </x:row>
    <x:row r="11" s="39" customFormat="1" ht="15" customHeight="1">
      <x:c r="A11" s="70" t="inlineStr">
        <x:is>
          <x:t xml:space="preserve">País</x:t>
        </x:is>
      </x:c>
      <x:c r="B11" s="70" t="inlineStr">
        <x:is>
          <x:t xml:space="preserve">Portugal</x:t>
        </x:is>
      </x:c>
      <x:c r="C11" s="78" t="n">
        <x:v>0</x:v>
      </x:c>
      <x:c r="D11" s="70" t="inlineStr">
        <x:is>
          <x:t xml:space="preserve">Jan 10 - Apr 9</x:t>
        </x:is>
      </x:c>
    </x:row>
    <x:row r="12" s="39" customFormat="1" ht="15" customHeight="1">
      <x:c r="A12" s="70" t="inlineStr">
        <x:is>
          <x:t xml:space="preserve">País</x:t>
        </x:is>
      </x:c>
      <x:c r="B12" s="70" t="inlineStr">
        <x:is>
          <x:t xml:space="preserve">United States</x:t>
        </x:is>
      </x:c>
      <x:c r="C12" s="78" t="n">
        <x:v>0</x:v>
      </x:c>
      <x:c r="D12" s="70" t="inlineStr">
        <x:is>
          <x:t xml:space="preserve">Jan 10 - Apr 9</x:t>
        </x:is>
      </x:c>
    </x:row>
    <x:row r="13" s="39" customFormat="1" ht="15" customHeight="1">
      <x:c r="A13" s="70" t="inlineStr">
        <x:is>
          <x:t xml:space="preserve">País</x:t>
        </x:is>
      </x:c>
      <x:c r="B13" s="70" t="inlineStr">
        <x:is>
          <x:t xml:space="preserve">Mozambique</x:t>
        </x:is>
      </x:c>
      <x:c r="C13" s="78" t="n">
        <x:v>0</x:v>
      </x:c>
      <x:c r="D13" s="70" t="inlineStr">
        <x:is>
          <x:t xml:space="preserve">Jan 10 - Apr 9</x:t>
        </x:is>
      </x:c>
    </x:row>
    <x:row r="14" s="39" customFormat="1" ht="15" customHeight="1">
      <x:c r="A14" s="70" t="inlineStr">
        <x:is>
          <x:t xml:space="preserve">País</x:t>
        </x:is>
      </x:c>
      <x:c r="B14" s="70" t="inlineStr">
        <x:is>
          <x:t xml:space="preserve">Spain</x:t>
        </x:is>
      </x:c>
      <x:c r="C14" s="78" t="n">
        <x:v>0</x:v>
      </x:c>
      <x:c r="D14" s="70" t="inlineStr">
        <x:is>
          <x:t xml:space="preserve">Jan 10 - Apr 9</x:t>
        </x:is>
      </x:c>
    </x:row>
    <x:row r="15" s="39" customFormat="1" ht="15" customHeight="1">
      <x:c r="A15" s="70" t="inlineStr">
        <x:is>
          <x:t xml:space="preserve">Faixa etária - geral</x:t>
        </x:is>
      </x:c>
      <x:c r="B15" s="70" t="inlineStr">
        <x:is>
          <x:t xml:space="preserve">13-17</x:t>
        </x:is>
      </x:c>
      <x:c r="C15" s="78" t="n">
        <x:v>0.001</x:v>
      </x:c>
      <x:c r="D15" s="70" t="inlineStr">
        <x:is>
          <x:t xml:space="preserve">Jan 10 - Apr 9</x:t>
        </x:is>
      </x:c>
    </x:row>
    <x:row r="16" s="39" customFormat="1" ht="15" customHeight="1">
      <x:c r="A16" s="70" t="inlineStr">
        <x:is>
          <x:t xml:space="preserve">Faixa etária - geral</x:t>
        </x:is>
      </x:c>
      <x:c r="B16" s="70" t="inlineStr">
        <x:is>
          <x:t xml:space="preserve">18-24</x:t>
        </x:is>
      </x:c>
      <x:c r="C16" s="78" t="n">
        <x:v>0.049</x:v>
      </x:c>
      <x:c r="D16" s="70" t="inlineStr">
        <x:is>
          <x:t xml:space="preserve">Jan 10 - Apr 9</x:t>
        </x:is>
      </x:c>
    </x:row>
    <x:row r="17" s="39" customFormat="1" ht="15" customHeight="1">
      <x:c r="A17" s="70" t="inlineStr">
        <x:is>
          <x:t xml:space="preserve">Faixa etária - geral</x:t>
        </x:is>
      </x:c>
      <x:c r="B17" s="70" t="inlineStr">
        <x:is>
          <x:t xml:space="preserve">25-34</x:t>
        </x:is>
      </x:c>
      <x:c r="C17" s="78" t="n">
        <x:v>0.285</x:v>
      </x:c>
      <x:c r="D17" s="70" t="inlineStr">
        <x:is>
          <x:t xml:space="preserve">Jan 10 - Apr 9</x:t>
        </x:is>
      </x:c>
    </x:row>
    <x:row r="18" s="39" customFormat="1" ht="15" customHeight="1">
      <x:c r="A18" s="70" t="inlineStr">
        <x:is>
          <x:t xml:space="preserve">Faixa etária - geral</x:t>
        </x:is>
      </x:c>
      <x:c r="B18" s="70" t="inlineStr">
        <x:is>
          <x:t xml:space="preserve">35-44</x:t>
        </x:is>
      </x:c>
      <x:c r="C18" s="78" t="n">
        <x:v>0.389</x:v>
      </x:c>
      <x:c r="D18" s="70" t="inlineStr">
        <x:is>
          <x:t xml:space="preserve">Jan 10 - Apr 9</x:t>
        </x:is>
      </x:c>
    </x:row>
    <x:row r="19" s="39" customFormat="1" ht="15" customHeight="1">
      <x:c r="A19" s="70" t="inlineStr">
        <x:is>
          <x:t xml:space="preserve">Faixa etária - geral</x:t>
        </x:is>
      </x:c>
      <x:c r="B19" s="70" t="inlineStr">
        <x:is>
          <x:t xml:space="preserve">45-54</x:t>
        </x:is>
      </x:c>
      <x:c r="C19" s="78" t="n">
        <x:v>0.193</x:v>
      </x:c>
      <x:c r="D19" s="70" t="inlineStr">
        <x:is>
          <x:t xml:space="preserve">Jan 10 - Apr 9</x:t>
        </x:is>
      </x:c>
    </x:row>
    <x:row r="20" s="39" customFormat="1" ht="15" customHeight="1">
      <x:c r="A20" s="70" t="inlineStr">
        <x:is>
          <x:t xml:space="preserve">Faixa etária - geral</x:t>
        </x:is>
      </x:c>
      <x:c r="B20" s="70" t="inlineStr">
        <x:is>
          <x:t xml:space="preserve">55-64</x:t>
        </x:is>
      </x:c>
      <x:c r="C20" s="78" t="n">
        <x:v>0.061</x:v>
      </x:c>
      <x:c r="D20" s="70" t="inlineStr">
        <x:is>
          <x:t xml:space="preserve">Jan 10 - Apr 9</x:t>
        </x:is>
      </x:c>
    </x:row>
    <x:row r="21" s="39" customFormat="1" ht="15" customHeight="1">
      <x:c r="A21" s="70" t="inlineStr">
        <x:is>
          <x:t xml:space="preserve">Faixa etária - geral</x:t>
        </x:is>
      </x:c>
      <x:c r="B21" s="70" t="inlineStr">
        <x:is>
          <x:t xml:space="preserve">65+</x:t>
        </x:is>
      </x:c>
      <x:c r="C21" s="78" t="n">
        <x:v>0.018</x:v>
      </x:c>
      <x:c r="D21" s="70" t="inlineStr">
        <x:is>
          <x:t xml:space="preserve">Jan 10 - Apr 9</x:t>
        </x:is>
      </x:c>
    </x:row>
    <x:row r="22" s="39" customFormat="1" ht="15" customHeight="1">
      <x:c r="A22" s="70" t="inlineStr">
        <x:is>
          <x:t xml:space="preserve">Faixa etária - homens</x:t>
        </x:is>
      </x:c>
      <x:c r="B22" s="70" t="inlineStr">
        <x:is>
          <x:t xml:space="preserve">13-17</x:t>
        </x:is>
      </x:c>
      <x:c r="C22" s="78" t="n">
        <x:v>0.002</x:v>
      </x:c>
      <x:c r="D22" s="70" t="inlineStr">
        <x:is>
          <x:t xml:space="preserve">Jan 10 - Apr 9</x:t>
        </x:is>
      </x:c>
    </x:row>
    <x:row r="23" s="39" customFormat="1" ht="15" customHeight="1">
      <x:c r="A23" s="70" t="inlineStr">
        <x:is>
          <x:t xml:space="preserve">Faixa etária - homens</x:t>
        </x:is>
      </x:c>
      <x:c r="B23" s="70" t="inlineStr">
        <x:is>
          <x:t xml:space="preserve">18-24</x:t>
        </x:is>
      </x:c>
      <x:c r="C23" s="78" t="n">
        <x:v>0.043</x:v>
      </x:c>
      <x:c r="D23" s="70" t="inlineStr">
        <x:is>
          <x:t xml:space="preserve">Jan 10 - Apr 9</x:t>
        </x:is>
      </x:c>
    </x:row>
    <x:row r="24" s="39" customFormat="1" ht="15" customHeight="1">
      <x:c r="A24" s="70" t="inlineStr">
        <x:is>
          <x:t xml:space="preserve">Faixa etária - homens</x:t>
        </x:is>
      </x:c>
      <x:c r="B24" s="70" t="inlineStr">
        <x:is>
          <x:t xml:space="preserve">25-34</x:t>
        </x:is>
      </x:c>
      <x:c r="C24" s="78" t="n">
        <x:v>0.275</x:v>
      </x:c>
      <x:c r="D24" s="70" t="inlineStr">
        <x:is>
          <x:t xml:space="preserve">Jan 10 - Apr 9</x:t>
        </x:is>
      </x:c>
    </x:row>
    <x:row r="25" s="39" customFormat="1" ht="15" customHeight="1">
      <x:c r="A25" s="70" t="inlineStr">
        <x:is>
          <x:t xml:space="preserve">Faixa etária - homens</x:t>
        </x:is>
      </x:c>
      <x:c r="B25" s="70" t="inlineStr">
        <x:is>
          <x:t xml:space="preserve">35-44</x:t>
        </x:is>
      </x:c>
      <x:c r="C25" s="78" t="n">
        <x:v>0.389</x:v>
      </x:c>
      <x:c r="D25" s="70" t="inlineStr">
        <x:is>
          <x:t xml:space="preserve">Jan 10 - Apr 9</x:t>
        </x:is>
      </x:c>
    </x:row>
    <x:row r="26" s="39" customFormat="1" ht="15" customHeight="1">
      <x:c r="A26" s="70" t="inlineStr">
        <x:is>
          <x:t xml:space="preserve">Faixa etária - homens</x:t>
        </x:is>
      </x:c>
      <x:c r="B26" s="70" t="inlineStr">
        <x:is>
          <x:t xml:space="preserve">45-54</x:t>
        </x:is>
      </x:c>
      <x:c r="C26" s="78" t="n">
        <x:v>0.2</x:v>
      </x:c>
      <x:c r="D26" s="70" t="inlineStr">
        <x:is>
          <x:t xml:space="preserve">Jan 10 - Apr 9</x:t>
        </x:is>
      </x:c>
    </x:row>
    <x:row r="27" s="39" customFormat="1" ht="15" customHeight="1">
      <x:c r="A27" s="70" t="inlineStr">
        <x:is>
          <x:t xml:space="preserve">Faixa etária - homens</x:t>
        </x:is>
      </x:c>
      <x:c r="B27" s="70" t="inlineStr">
        <x:is>
          <x:t xml:space="preserve">55-64</x:t>
        </x:is>
      </x:c>
      <x:c r="C27" s="78" t="n">
        <x:v>0.067</x:v>
      </x:c>
      <x:c r="D27" s="70" t="inlineStr">
        <x:is>
          <x:t xml:space="preserve">Jan 10 - Apr 9</x:t>
        </x:is>
      </x:c>
    </x:row>
    <x:row r="28" s="39" customFormat="1" ht="15" customHeight="1">
      <x:c r="A28" s="70" t="inlineStr">
        <x:is>
          <x:t xml:space="preserve">Faixa etária - homens</x:t>
        </x:is>
      </x:c>
      <x:c r="B28" s="70" t="inlineStr">
        <x:is>
          <x:t xml:space="preserve">65+</x:t>
        </x:is>
      </x:c>
      <x:c r="C28" s="78" t="n">
        <x:v>0.02</x:v>
      </x:c>
      <x:c r="D28" s="70" t="inlineStr">
        <x:is>
          <x:t xml:space="preserve">Jan 10 - Apr 9</x:t>
        </x:is>
      </x:c>
    </x:row>
    <x:row r="29" s="39" customFormat="1" ht="15" customHeight="1">
      <x:c r="A29" s="70" t="inlineStr">
        <x:is>
          <x:t xml:space="preserve">Faixa etária - mulheres</x:t>
        </x:is>
      </x:c>
      <x:c r="B29" s="70" t="inlineStr">
        <x:is>
          <x:t xml:space="preserve">13-17</x:t>
        </x:is>
      </x:c>
      <x:c r="C29" s="78" t="n">
        <x:v>0</x:v>
      </x:c>
      <x:c r="D29" s="70" t="inlineStr">
        <x:is>
          <x:t xml:space="preserve">Jan 10 - Apr 9</x:t>
        </x:is>
      </x:c>
    </x:row>
    <x:row r="30" s="39" customFormat="1" ht="15" customHeight="1">
      <x:c r="A30" s="70" t="inlineStr">
        <x:is>
          <x:t xml:space="preserve">Faixa etária - mulheres</x:t>
        </x:is>
      </x:c>
      <x:c r="B30" s="70" t="inlineStr">
        <x:is>
          <x:t xml:space="preserve">18-24</x:t>
        </x:is>
      </x:c>
      <x:c r="C30" s="78" t="n">
        <x:v>0.048</x:v>
      </x:c>
      <x:c r="D30" s="70" t="inlineStr">
        <x:is>
          <x:t xml:space="preserve">Jan 10 - Apr 9</x:t>
        </x:is>
      </x:c>
    </x:row>
    <x:row r="31" s="39" customFormat="1" ht="15" customHeight="1">
      <x:c r="A31" s="70" t="inlineStr">
        <x:is>
          <x:t xml:space="preserve">Faixa etária - mulheres</x:t>
        </x:is>
      </x:c>
      <x:c r="B31" s="70" t="inlineStr">
        <x:is>
          <x:t xml:space="preserve">25-34</x:t>
        </x:is>
      </x:c>
      <x:c r="C31" s="78" t="n">
        <x:v>0.283</x:v>
      </x:c>
      <x:c r="D31" s="70" t="inlineStr">
        <x:is>
          <x:t xml:space="preserve">Jan 10 - Apr 9</x:t>
        </x:is>
      </x:c>
    </x:row>
    <x:row r="32" s="39" customFormat="1" ht="15" customHeight="1">
      <x:c r="A32" s="70" t="inlineStr">
        <x:is>
          <x:t xml:space="preserve">Faixa etária - mulheres</x:t>
        </x:is>
      </x:c>
      <x:c r="B32" s="70" t="inlineStr">
        <x:is>
          <x:t xml:space="preserve">35-44</x:t>
        </x:is>
      </x:c>
      <x:c r="C32" s="78" t="n">
        <x:v>0.401</x:v>
      </x:c>
      <x:c r="D32" s="70" t="inlineStr">
        <x:is>
          <x:t xml:space="preserve">Jan 10 - Apr 9</x:t>
        </x:is>
      </x:c>
    </x:row>
    <x:row r="33" s="39" customFormat="1" ht="15" customHeight="1">
      <x:c r="A33" s="70" t="inlineStr">
        <x:is>
          <x:t xml:space="preserve">Faixa etária - mulheres</x:t>
        </x:is>
      </x:c>
      <x:c r="B33" s="70" t="inlineStr">
        <x:is>
          <x:t xml:space="preserve">45-54</x:t>
        </x:is>
      </x:c>
      <x:c r="C33" s="78" t="n">
        <x:v>0.19</x:v>
      </x:c>
      <x:c r="D33" s="70" t="inlineStr">
        <x:is>
          <x:t xml:space="preserve">Jan 10 - Apr 9</x:t>
        </x:is>
      </x:c>
    </x:row>
    <x:row r="34" s="39" customFormat="1" ht="15" customHeight="1">
      <x:c r="A34" s="70" t="inlineStr">
        <x:is>
          <x:t xml:space="preserve">Faixa etária - mulheres</x:t>
        </x:is>
      </x:c>
      <x:c r="B34" s="70" t="inlineStr">
        <x:is>
          <x:t xml:space="preserve">55-64</x:t>
        </x:is>
      </x:c>
      <x:c r="C34" s="78" t="n">
        <x:v>0.058</x:v>
      </x:c>
      <x:c r="D34" s="70" t="inlineStr">
        <x:is>
          <x:t xml:space="preserve">Jan 10 - Apr 9</x:t>
        </x:is>
      </x:c>
    </x:row>
    <x:row r="35" s="39" customFormat="1" ht="15" customHeight="1">
      <x:c r="A35" s="70" t="inlineStr">
        <x:is>
          <x:t xml:space="preserve">Faixa etária - mulheres</x:t>
        </x:is>
      </x:c>
      <x:c r="B35" s="70" t="inlineStr">
        <x:is>
          <x:t xml:space="preserve">65+</x:t>
        </x:is>
      </x:c>
      <x:c r="C35" s="78" t="n">
        <x:v>0.015</x:v>
      </x:c>
      <x:c r="D35" s="70" t="inlineStr">
        <x:is>
          <x:t xml:space="preserve">Jan 10 - Apr 9</x:t>
        </x:is>
      </x:c>
    </x:row>
  </x:sheetData>
  <x:mergeCells>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17" style="67" customWidth="1"/>
    <x:col min="3" max="3" width="16" style="67" customWidth="1"/>
  </x:cols>
  <x:sheetData>
    <x:row r="1" s="39" customFormat="1" ht="20.450000762939453" customHeight="1">
      <x:c r="A1" s="68" t="inlineStr">
        <x:is>
          <x:t xml:space="preserve">Instagram 90d Atividade</x:t>
        </x:is>
      </x:c>
    </x:row>
    <x:row r="2" s="39" customFormat="1" ht="15" customHeight="1">
      <x:c r="A2" s="74" t="inlineStr">
        <x:is>
          <x:t xml:space="preserve">Atividade média dos seguidores por dia da semana.</x:t>
        </x:is>
      </x:c>
    </x:row>
    <x:row r="4" s="39" customFormat="1" ht="15" customHeight="1">
      <x:c r="A4" s="69" t="inlineStr">
        <x:is>
          <x:t xml:space="preserve">dia_semana</x:t>
        </x:is>
      </x:c>
      <x:c r="B4" s="69" t="inlineStr">
        <x:is>
          <x:t xml:space="preserve">atividade_media</x:t>
        </x:is>
      </x:c>
      <x:c r="C4" s="69" t="inlineStr">
        <x:is>
          <x:t xml:space="preserve">periodo</x:t>
        </x:is>
      </x:c>
    </x:row>
    <x:row r="5" s="39" customFormat="1" ht="15" customHeight="1">
      <x:c r="A5" s="70" t="inlineStr">
        <x:is>
          <x:t xml:space="preserve">segunda-feira</x:t>
        </x:is>
      </x:c>
      <x:c r="B5" s="76" t="n">
        <x:v>7167</x:v>
      </x:c>
      <x:c r="C5" s="70" t="inlineStr">
        <x:is>
          <x:t xml:space="preserve">Jan 10 - Apr 9</x:t>
        </x:is>
      </x:c>
    </x:row>
    <x:row r="6" s="39" customFormat="1" ht="15" customHeight="1">
      <x:c r="A6" s="70" t="inlineStr">
        <x:is>
          <x:t xml:space="preserve">terça-feira</x:t>
        </x:is>
      </x:c>
      <x:c r="B6" s="76" t="n">
        <x:v>7128</x:v>
      </x:c>
      <x:c r="C6" s="70" t="inlineStr">
        <x:is>
          <x:t xml:space="preserve">Jan 10 - Apr 9</x:t>
        </x:is>
      </x:c>
    </x:row>
    <x:row r="7" s="39" customFormat="1" ht="15" customHeight="1">
      <x:c r="A7" s="70" t="inlineStr">
        <x:is>
          <x:t xml:space="preserve">quarta-feira</x:t>
        </x:is>
      </x:c>
      <x:c r="B7" s="76" t="n">
        <x:v>7048</x:v>
      </x:c>
      <x:c r="C7" s="70" t="inlineStr">
        <x:is>
          <x:t xml:space="preserve">Jan 10 - Apr 9</x:t>
        </x:is>
      </x:c>
    </x:row>
    <x:row r="8" s="39" customFormat="1" ht="15" customHeight="1">
      <x:c r="A8" s="70" t="inlineStr">
        <x:is>
          <x:t xml:space="preserve">quinta-feira</x:t>
        </x:is>
      </x:c>
      <x:c r="B8" s="76" t="n">
        <x:v>6998</x:v>
      </x:c>
      <x:c r="C8" s="70" t="inlineStr">
        <x:is>
          <x:t xml:space="preserve">Jan 10 - Apr 9</x:t>
        </x:is>
      </x:c>
    </x:row>
    <x:row r="9" s="39" customFormat="1" ht="15" customHeight="1">
      <x:c r="A9" s="70" t="inlineStr">
        <x:is>
          <x:t xml:space="preserve">sexta-feira</x:t>
        </x:is>
      </x:c>
      <x:c r="B9" s="76" t="n">
        <x:v>7187</x:v>
      </x:c>
      <x:c r="C9" s="70" t="inlineStr">
        <x:is>
          <x:t xml:space="preserve">Jan 10 - Apr 9</x:t>
        </x:is>
      </x:c>
    </x:row>
    <x:row r="10" s="39" customFormat="1" ht="15" customHeight="1">
      <x:c r="A10" s="70" t="inlineStr">
        <x:is>
          <x:t xml:space="preserve">sábado</x:t>
        </x:is>
      </x:c>
      <x:c r="B10" s="76" t="n">
        <x:v>7191</x:v>
      </x:c>
      <x:c r="C10" s="70" t="inlineStr">
        <x:is>
          <x:t xml:space="preserve">Jan 10 - Apr 9</x:t>
        </x:is>
      </x:c>
    </x:row>
    <x:row r="11" s="39" customFormat="1" ht="15" customHeight="1">
      <x:c r="A11" s="70" t="inlineStr">
        <x:is>
          <x:t xml:space="preserve">domingo</x:t>
        </x:is>
      </x:c>
      <x:c r="B11" s="76" t="n">
        <x:v>7200</x:v>
      </x:c>
      <x:c r="C11" s="70" t="inlineStr">
        <x:is>
          <x:t xml:space="preserve">Jan 10 - Apr 9</x:t>
        </x:is>
      </x:c>
    </x:row>
  </x:sheetData>
  <x:mergeCells>
    <x:mergeCell ref="A2:D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3" width="18" style="67" customWidth="1"/>
    <x:col min="4" max="4" width="20" style="67" customWidth="1"/>
    <x:col min="5" max="5" width="18" style="67" customWidth="1"/>
  </x:cols>
  <x:sheetData>
    <x:row r="1" s="39" customFormat="1" ht="20.450000762939453" customHeight="1">
      <x:c r="A1" s="68" t="inlineStr">
        <x:is>
          <x:t xml:space="preserve">Instagram Atividade Mensal</x:t>
        </x:is>
      </x:c>
    </x:row>
    <x:row r="2" s="39" customFormat="1" ht="15" customHeight="1">
      <x:c r="A2" s="74" t="inlineStr">
        <x:is>
          <x:t xml:space="preserve">Posts, reels, stories e novos seguidores por mês.</x:t>
        </x:is>
      </x:c>
    </x:row>
    <x:row r="4" s="39" customFormat="1" ht="15" customHeight="1">
      <x:c r="A4" s="69" t="inlineStr">
        <x:is>
          <x:t xml:space="preserve">month</x:t>
        </x:is>
      </x:c>
      <x:c r="B4" s="69" t="inlineStr">
        <x:is>
          <x:t xml:space="preserve">posts_publicados</x:t>
        </x:is>
      </x:c>
      <x:c r="C4" s="69" t="inlineStr">
        <x:is>
          <x:t xml:space="preserve">reels_publicados</x:t>
        </x:is>
      </x:c>
      <x:c r="D4" s="69" t="inlineStr">
        <x:is>
          <x:t xml:space="preserve">stories_publicados</x:t>
        </x:is>
      </x:c>
      <x:c r="E4" s="69" t="inlineStr">
        <x:is>
          <x:t xml:space="preserve">novos_seguidores</x:t>
        </x:is>
      </x:c>
    </x:row>
    <x:row r="5" s="39" customFormat="1" ht="15" customHeight="1">
      <x:c r="A5" s="70" t="inlineStr">
        <x:is>
          <x:t xml:space="preserve">2025-04</x:t>
        </x:is>
      </x:c>
      <x:c r="B5" s="76" t="n">
        <x:v>19</x:v>
      </x:c>
      <x:c r="C5" s="76" t="n">
        <x:v>0</x:v>
      </x:c>
      <x:c r="D5" s="76" t="n">
        <x:v>66</x:v>
      </x:c>
      <x:c r="E5" s="76" t="n">
        <x:v>74</x:v>
      </x:c>
    </x:row>
    <x:row r="6" s="39" customFormat="1" ht="15" customHeight="1">
      <x:c r="A6" s="70" t="inlineStr">
        <x:is>
          <x:t xml:space="preserve">2025-05</x:t>
        </x:is>
      </x:c>
      <x:c r="B6" s="76" t="n">
        <x:v>33</x:v>
      </x:c>
      <x:c r="C6" s="76" t="n">
        <x:v>2</x:v>
      </x:c>
      <x:c r="D6" s="76" t="n">
        <x:v>83</x:v>
      </x:c>
      <x:c r="E6" s="76" t="n">
        <x:v>133</x:v>
      </x:c>
    </x:row>
    <x:row r="7" s="39" customFormat="1" ht="15" customHeight="1">
      <x:c r="A7" s="70" t="inlineStr">
        <x:is>
          <x:t xml:space="preserve">2025-06</x:t>
        </x:is>
      </x:c>
      <x:c r="B7" s="76" t="n">
        <x:v>27</x:v>
      </x:c>
      <x:c r="C7" s="76" t="n">
        <x:v>8</x:v>
      </x:c>
      <x:c r="D7" s="76" t="n">
        <x:v>191</x:v>
      </x:c>
      <x:c r="E7" s="76" t="n">
        <x:v>177</x:v>
      </x:c>
    </x:row>
    <x:row r="8" s="39" customFormat="1" ht="15" customHeight="1">
      <x:c r="A8" s="70" t="inlineStr">
        <x:is>
          <x:t xml:space="preserve">2025-07</x:t>
        </x:is>
      </x:c>
      <x:c r="B8" s="76" t="n">
        <x:v>30</x:v>
      </x:c>
      <x:c r="C8" s="76" t="n">
        <x:v>10</x:v>
      </x:c>
      <x:c r="D8" s="76" t="n">
        <x:v>92</x:v>
      </x:c>
      <x:c r="E8" s="76" t="n">
        <x:v>247</x:v>
      </x:c>
    </x:row>
    <x:row r="9" s="39" customFormat="1" ht="15" customHeight="1">
      <x:c r="A9" s="70" t="inlineStr">
        <x:is>
          <x:t xml:space="preserve">2025-08</x:t>
        </x:is>
      </x:c>
      <x:c r="B9" s="76" t="n">
        <x:v>45</x:v>
      </x:c>
      <x:c r="C9" s="76" t="n">
        <x:v>9</x:v>
      </x:c>
      <x:c r="D9" s="76" t="n">
        <x:v>182</x:v>
      </x:c>
      <x:c r="E9" s="76" t="n">
        <x:v>273</x:v>
      </x:c>
    </x:row>
    <x:row r="10" s="39" customFormat="1" ht="15" customHeight="1">
      <x:c r="A10" s="70" t="inlineStr">
        <x:is>
          <x:t xml:space="preserve">2025-09</x:t>
        </x:is>
      </x:c>
      <x:c r="B10" s="76" t="n">
        <x:v>68</x:v>
      </x:c>
      <x:c r="C10" s="76" t="n">
        <x:v>7</x:v>
      </x:c>
      <x:c r="D10" s="76" t="n">
        <x:v>218</x:v>
      </x:c>
      <x:c r="E10" s="76" t="n">
        <x:v>321</x:v>
      </x:c>
    </x:row>
    <x:row r="11" s="39" customFormat="1" ht="15" customHeight="1">
      <x:c r="A11" s="70" t="inlineStr">
        <x:is>
          <x:t xml:space="preserve">2025-10</x:t>
        </x:is>
      </x:c>
      <x:c r="B11" s="76" t="n">
        <x:v>67</x:v>
      </x:c>
      <x:c r="C11" s="76" t="n">
        <x:v>5</x:v>
      </x:c>
      <x:c r="D11" s="76" t="n">
        <x:v>296</x:v>
      </x:c>
      <x:c r="E11" s="76" t="n">
        <x:v>364</x:v>
      </x:c>
    </x:row>
    <x:row r="12" s="39" customFormat="1" ht="15" customHeight="1">
      <x:c r="A12" s="70" t="inlineStr">
        <x:is>
          <x:t xml:space="preserve">2025-11</x:t>
        </x:is>
      </x:c>
      <x:c r="B12" s="76" t="n">
        <x:v>37</x:v>
      </x:c>
      <x:c r="C12" s="76" t="n">
        <x:v>13</x:v>
      </x:c>
      <x:c r="D12" s="76" t="n">
        <x:v>187</x:v>
      </x:c>
      <x:c r="E12" s="76" t="n">
        <x:v>250</x:v>
      </x:c>
    </x:row>
    <x:row r="13" s="39" customFormat="1" ht="15" customHeight="1">
      <x:c r="A13" s="70" t="inlineStr">
        <x:is>
          <x:t xml:space="preserve">2025-12</x:t>
        </x:is>
      </x:c>
      <x:c r="B13" s="76" t="n">
        <x:v>31</x:v>
      </x:c>
      <x:c r="C13" s="76" t="n">
        <x:v>16</x:v>
      </x:c>
      <x:c r="D13" s="76" t="n">
        <x:v>162</x:v>
      </x:c>
      <x:c r="E13" s="76" t="n">
        <x:v>170</x:v>
      </x:c>
    </x:row>
    <x:row r="14" s="39" customFormat="1" ht="15" customHeight="1">
      <x:c r="A14" s="70" t="inlineStr">
        <x:is>
          <x:t xml:space="preserve">2026-01</x:t>
        </x:is>
      </x:c>
      <x:c r="B14" s="76" t="n">
        <x:v>24</x:v>
      </x:c>
      <x:c r="C14" s="76" t="n">
        <x:v>2</x:v>
      </x:c>
      <x:c r="D14" s="76" t="n">
        <x:v>51</x:v>
      </x:c>
      <x:c r="E14" s="76" t="n">
        <x:v>191</x:v>
      </x:c>
    </x:row>
    <x:row r="15" s="39" customFormat="1" ht="15" customHeight="1">
      <x:c r="A15" s="70" t="inlineStr">
        <x:is>
          <x:t xml:space="preserve">2026-02</x:t>
        </x:is>
      </x:c>
      <x:c r="B15" s="76" t="n">
        <x:v>25</x:v>
      </x:c>
      <x:c r="C15" s="76" t="n">
        <x:v>7</x:v>
      </x:c>
      <x:c r="D15" s="76" t="n">
        <x:v>206</x:v>
      </x:c>
      <x:c r="E15" s="76" t="n">
        <x:v>209</x:v>
      </x:c>
    </x:row>
    <x:row r="16" s="39" customFormat="1" ht="15" customHeight="1">
      <x:c r="A16" s="70" t="inlineStr">
        <x:is>
          <x:t xml:space="preserve">2026-03</x:t>
        </x:is>
      </x:c>
      <x:c r="B16" s="76" t="n">
        <x:v>44</x:v>
      </x:c>
      <x:c r="C16" s="76" t="n">
        <x:v>6</x:v>
      </x:c>
      <x:c r="D16" s="76" t="n">
        <x:v>325</x:v>
      </x:c>
      <x:c r="E16" s="76" t="n">
        <x:v>270</x:v>
      </x:c>
    </x:row>
    <x:row r="17" s="39" customFormat="1" ht="15" customHeight="1">
      <x:c r="A17" s="70" t="inlineStr">
        <x:is>
          <x:t xml:space="preserve">2026-04</x:t>
        </x:is>
      </x:c>
      <x:c r="B17" s="76" t="n">
        <x:v>11</x:v>
      </x:c>
      <x:c r="C17" s="76" t="n">
        <x:v>2</x:v>
      </x:c>
      <x:c r="D17" s="76" t="n">
        <x:v>66</x:v>
      </x:c>
      <x:c r="E17" s="76" t="n">
        <x:v>86</x:v>
      </x:c>
    </x:row>
  </x:sheetData>
  <x:mergeCells>
    <x:mergeCell ref="A2:E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ColWidth="8.54296875" defaultRowHeight="15"/>
  <x:cols>
    <x:col min="1" max="1" width="42.06999969482422" style="67" customWidth="1"/>
    <x:col min="2" max="2" width="18" style="67" customWidth="1"/>
  </x:cols>
  <x:sheetData>
    <x:row r="1" s="39" customFormat="1" ht="39.75" customHeight="1">
      <x:c r="A1" s="68" t="inlineStr">
        <x:is>
          <x:t xml:space="preserve">Instagram Seguidores Dia</x:t>
        </x:is>
      </x:c>
    </x:row>
    <x:row r="2" s="39" customFormat="1" ht="15" customHeight="1">
      <x:c r="A2" s="74" t="inlineStr">
        <x:is>
          <x:t xml:space="preserve">Base diária de novos seguidores.</x:t>
        </x:is>
      </x:c>
    </x:row>
    <x:row r="4" s="39" customFormat="1" ht="15" customHeight="1">
      <x:c r="A4" s="69" t="inlineStr">
        <x:is>
          <x:t xml:space="preserve">data</x:t>
        </x:is>
      </x:c>
      <x:c r="B4" s="69" t="inlineStr">
        <x:is>
          <x:t xml:space="preserve">novos_seguidores</x:t>
        </x:is>
      </x:c>
    </x:row>
    <x:row r="5" s="39" customFormat="1" ht="15" customHeight="1">
      <x:c r="A5" s="80" t="n">
        <x:v>45758</x:v>
      </x:c>
      <x:c r="B5" s="76" t="n">
        <x:v>1</x:v>
      </x:c>
    </x:row>
    <x:row r="6" s="39" customFormat="1" ht="15" customHeight="1">
      <x:c r="A6" s="80" t="n">
        <x:v>45759</x:v>
      </x:c>
      <x:c r="B6" s="76" t="n">
        <x:v>3</x:v>
      </x:c>
    </x:row>
    <x:row r="7" s="39" customFormat="1" ht="15" customHeight="1">
      <x:c r="A7" s="80" t="n">
        <x:v>45760</x:v>
      </x:c>
      <x:c r="B7" s="76" t="n">
        <x:v>2</x:v>
      </x:c>
    </x:row>
    <x:row r="8" s="39" customFormat="1" ht="15" customHeight="1">
      <x:c r="A8" s="80" t="n">
        <x:v>45761</x:v>
      </x:c>
      <x:c r="B8" s="76" t="n">
        <x:v>3</x:v>
      </x:c>
    </x:row>
    <x:row r="9" s="39" customFormat="1" ht="15" customHeight="1">
      <x:c r="A9" s="80" t="n">
        <x:v>45762</x:v>
      </x:c>
      <x:c r="B9" s="76" t="n">
        <x:v>7</x:v>
      </x:c>
    </x:row>
    <x:row r="10" s="39" customFormat="1" ht="15" customHeight="1">
      <x:c r="A10" s="80" t="n">
        <x:v>45763</x:v>
      </x:c>
      <x:c r="B10" s="76" t="n">
        <x:v>7</x:v>
      </x:c>
    </x:row>
    <x:row r="11" s="39" customFormat="1" ht="15" customHeight="1">
      <x:c r="A11" s="80" t="n">
        <x:v>45764</x:v>
      </x:c>
      <x:c r="B11" s="76" t="n">
        <x:v>9</x:v>
      </x:c>
    </x:row>
    <x:row r="12" s="39" customFormat="1" ht="15" customHeight="1">
      <x:c r="A12" s="80" t="n">
        <x:v>45765</x:v>
      </x:c>
      <x:c r="B12" s="76" t="n">
        <x:v>2</x:v>
      </x:c>
    </x:row>
    <x:row r="13" s="39" customFormat="1" ht="15" customHeight="1">
      <x:c r="A13" s="80" t="n">
        <x:v>45766</x:v>
      </x:c>
      <x:c r="B13" s="76" t="n">
        <x:v>3</x:v>
      </x:c>
    </x:row>
    <x:row r="14" s="39" customFormat="1" ht="15" customHeight="1">
      <x:c r="A14" s="80" t="n">
        <x:v>45767</x:v>
      </x:c>
      <x:c r="B14" s="76" t="n">
        <x:v>3</x:v>
      </x:c>
    </x:row>
    <x:row r="15" s="39" customFormat="1" ht="15" customHeight="1">
      <x:c r="A15" s="80" t="n">
        <x:v>45768</x:v>
      </x:c>
      <x:c r="B15" s="76" t="n">
        <x:v>2</x:v>
      </x:c>
    </x:row>
    <x:row r="16" s="39" customFormat="1" ht="15" customHeight="1">
      <x:c r="A16" s="80" t="n">
        <x:v>45769</x:v>
      </x:c>
      <x:c r="B16" s="76" t="n">
        <x:v>4</x:v>
      </x:c>
    </x:row>
    <x:row r="17" s="39" customFormat="1" ht="15" customHeight="1">
      <x:c r="A17" s="80" t="n">
        <x:v>45770</x:v>
      </x:c>
      <x:c r="B17" s="76" t="n">
        <x:v>2</x:v>
      </x:c>
    </x:row>
    <x:row r="18" s="39" customFormat="1" ht="15" customHeight="1">
      <x:c r="A18" s="80" t="n">
        <x:v>45771</x:v>
      </x:c>
      <x:c r="B18" s="76" t="n">
        <x:v>2</x:v>
      </x:c>
    </x:row>
    <x:row r="19" s="39" customFormat="1" ht="15" customHeight="1">
      <x:c r="A19" s="80" t="n">
        <x:v>45772</x:v>
      </x:c>
      <x:c r="B19" s="76" t="n">
        <x:v>1</x:v>
      </x:c>
    </x:row>
    <x:row r="20" s="39" customFormat="1" ht="15" customHeight="1">
      <x:c r="A20" s="80" t="n">
        <x:v>45773</x:v>
      </x:c>
      <x:c r="B20" s="76" t="n">
        <x:v>4</x:v>
      </x:c>
    </x:row>
    <x:row r="21" s="39" customFormat="1" ht="15" customHeight="1">
      <x:c r="A21" s="80" t="n">
        <x:v>45774</x:v>
      </x:c>
      <x:c r="B21" s="76" t="n">
        <x:v>2</x:v>
      </x:c>
    </x:row>
    <x:row r="22" s="39" customFormat="1" ht="15" customHeight="1">
      <x:c r="A22" s="80" t="n">
        <x:v>45775</x:v>
      </x:c>
      <x:c r="B22" s="76" t="n">
        <x:v>4</x:v>
      </x:c>
    </x:row>
    <x:row r="23" s="39" customFormat="1" ht="15" customHeight="1">
      <x:c r="A23" s="80" t="n">
        <x:v>45776</x:v>
      </x:c>
      <x:c r="B23" s="76" t="n">
        <x:v>4</x:v>
      </x:c>
    </x:row>
    <x:row r="24" s="39" customFormat="1" ht="15" customHeight="1">
      <x:c r="A24" s="80" t="n">
        <x:v>45777</x:v>
      </x:c>
      <x:c r="B24" s="76" t="n">
        <x:v>9</x:v>
      </x:c>
    </x:row>
    <x:row r="25" s="39" customFormat="1" ht="15" customHeight="1">
      <x:c r="A25" s="80" t="n">
        <x:v>45778</x:v>
      </x:c>
      <x:c r="B25" s="76" t="n">
        <x:v>1</x:v>
      </x:c>
    </x:row>
    <x:row r="26" s="39" customFormat="1" ht="15" customHeight="1">
      <x:c r="A26" s="80" t="n">
        <x:v>45779</x:v>
      </x:c>
      <x:c r="B26" s="76" t="n">
        <x:v>5</x:v>
      </x:c>
    </x:row>
    <x:row r="27" s="39" customFormat="1" ht="15" customHeight="1">
      <x:c r="A27" s="80" t="n">
        <x:v>45780</x:v>
      </x:c>
      <x:c r="B27" s="76" t="n">
        <x:v>4</x:v>
      </x:c>
    </x:row>
    <x:row r="28" s="39" customFormat="1" ht="15" customHeight="1">
      <x:c r="A28" s="80" t="n">
        <x:v>45781</x:v>
      </x:c>
      <x:c r="B28" s="76" t="n">
        <x:v>4</x:v>
      </x:c>
    </x:row>
    <x:row r="29" s="39" customFormat="1" ht="15" customHeight="1">
      <x:c r="A29" s="80" t="n">
        <x:v>45782</x:v>
      </x:c>
      <x:c r="B29" s="76" t="n">
        <x:v>3</x:v>
      </x:c>
    </x:row>
    <x:row r="30" s="39" customFormat="1" ht="15" customHeight="1">
      <x:c r="A30" s="80" t="n">
        <x:v>45783</x:v>
      </x:c>
      <x:c r="B30" s="76" t="n">
        <x:v>6</x:v>
      </x:c>
    </x:row>
    <x:row r="31" s="39" customFormat="1" ht="15" customHeight="1">
      <x:c r="A31" s="80" t="n">
        <x:v>45784</x:v>
      </x:c>
      <x:c r="B31" s="76" t="n">
        <x:v>3</x:v>
      </x:c>
    </x:row>
    <x:row r="32" s="39" customFormat="1" ht="15" customHeight="1">
      <x:c r="A32" s="80" t="n">
        <x:v>45785</x:v>
      </x:c>
      <x:c r="B32" s="76" t="n">
        <x:v>8</x:v>
      </x:c>
    </x:row>
    <x:row r="33" s="39" customFormat="1" ht="15" customHeight="1">
      <x:c r="A33" s="80" t="n">
        <x:v>45786</x:v>
      </x:c>
      <x:c r="B33" s="76" t="n">
        <x:v>9</x:v>
      </x:c>
    </x:row>
    <x:row r="34" s="39" customFormat="1" ht="15" customHeight="1">
      <x:c r="A34" s="80" t="n">
        <x:v>45787</x:v>
      </x:c>
      <x:c r="B34" s="76" t="n">
        <x:v>3</x:v>
      </x:c>
    </x:row>
    <x:row r="35" s="39" customFormat="1" ht="15" customHeight="1">
      <x:c r="A35" s="80" t="n">
        <x:v>45788</x:v>
      </x:c>
      <x:c r="B35" s="76" t="n">
        <x:v>1</x:v>
      </x:c>
    </x:row>
    <x:row r="36" s="39" customFormat="1" ht="15" customHeight="1">
      <x:c r="A36" s="80" t="n">
        <x:v>45789</x:v>
      </x:c>
      <x:c r="B36" s="76" t="n">
        <x:v>3</x:v>
      </x:c>
    </x:row>
    <x:row r="37" s="39" customFormat="1" ht="15" customHeight="1">
      <x:c r="A37" s="80" t="n">
        <x:v>45790</x:v>
      </x:c>
      <x:c r="B37" s="76" t="n">
        <x:v>5</x:v>
      </x:c>
    </x:row>
    <x:row r="38" s="39" customFormat="1" ht="15" customHeight="1">
      <x:c r="A38" s="80" t="n">
        <x:v>45791</x:v>
      </x:c>
      <x:c r="B38" s="76" t="n">
        <x:v>4</x:v>
      </x:c>
    </x:row>
    <x:row r="39" s="39" customFormat="1" ht="15" customHeight="1">
      <x:c r="A39" s="80" t="n">
        <x:v>45792</x:v>
      </x:c>
      <x:c r="B39" s="76" t="n">
        <x:v>6</x:v>
      </x:c>
    </x:row>
    <x:row r="40" s="39" customFormat="1" ht="15" customHeight="1">
      <x:c r="A40" s="80" t="n">
        <x:v>45793</x:v>
      </x:c>
      <x:c r="B40" s="76" t="n">
        <x:v>5</x:v>
      </x:c>
    </x:row>
    <x:row r="41" s="39" customFormat="1" ht="15" customHeight="1">
      <x:c r="A41" s="80" t="n">
        <x:v>45794</x:v>
      </x:c>
      <x:c r="B41" s="76" t="n">
        <x:v>4</x:v>
      </x:c>
    </x:row>
    <x:row r="42" s="39" customFormat="1" ht="15" customHeight="1">
      <x:c r="A42" s="80" t="n">
        <x:v>45795</x:v>
      </x:c>
      <x:c r="B42" s="76" t="n">
        <x:v>1</x:v>
      </x:c>
    </x:row>
    <x:row r="43" s="39" customFormat="1" ht="15" customHeight="1">
      <x:c r="A43" s="80" t="n">
        <x:v>45796</x:v>
      </x:c>
      <x:c r="B43" s="76" t="n">
        <x:v>2</x:v>
      </x:c>
    </x:row>
    <x:row r="44" s="39" customFormat="1" ht="15" customHeight="1">
      <x:c r="A44" s="80" t="n">
        <x:v>45797</x:v>
      </x:c>
      <x:c r="B44" s="76" t="n">
        <x:v>4</x:v>
      </x:c>
    </x:row>
    <x:row r="45" s="39" customFormat="1" ht="15" customHeight="1">
      <x:c r="A45" s="80" t="n">
        <x:v>45798</x:v>
      </x:c>
      <x:c r="B45" s="76" t="n">
        <x:v>5</x:v>
      </x:c>
    </x:row>
    <x:row r="46" s="39" customFormat="1" ht="15" customHeight="1">
      <x:c r="A46" s="80" t="n">
        <x:v>45799</x:v>
      </x:c>
      <x:c r="B46" s="76" t="n">
        <x:v>9</x:v>
      </x:c>
    </x:row>
    <x:row r="47" s="39" customFormat="1" ht="15" customHeight="1">
      <x:c r="A47" s="80" t="n">
        <x:v>45800</x:v>
      </x:c>
      <x:c r="B47" s="76" t="n">
        <x:v>4</x:v>
      </x:c>
    </x:row>
    <x:row r="48" s="39" customFormat="1" ht="15" customHeight="1">
      <x:c r="A48" s="80" t="n">
        <x:v>45801</x:v>
      </x:c>
      <x:c r="B48" s="76" t="n">
        <x:v>2</x:v>
      </x:c>
    </x:row>
    <x:row r="49" s="39" customFormat="1" ht="15" customHeight="1">
      <x:c r="A49" s="80" t="n">
        <x:v>45802</x:v>
      </x:c>
      <x:c r="B49" s="76" t="n">
        <x:v>2</x:v>
      </x:c>
    </x:row>
    <x:row r="50" s="39" customFormat="1" ht="15" customHeight="1">
      <x:c r="A50" s="80" t="n">
        <x:v>45803</x:v>
      </x:c>
      <x:c r="B50" s="76" t="n">
        <x:v>4</x:v>
      </x:c>
    </x:row>
    <x:row r="51" s="39" customFormat="1" ht="15" customHeight="1">
      <x:c r="A51" s="80" t="n">
        <x:v>45804</x:v>
      </x:c>
      <x:c r="B51" s="76" t="n">
        <x:v>6</x:v>
      </x:c>
    </x:row>
    <x:row r="52" s="39" customFormat="1" ht="15" customHeight="1">
      <x:c r="A52" s="80" t="n">
        <x:v>45805</x:v>
      </x:c>
      <x:c r="B52" s="76" t="n">
        <x:v>7</x:v>
      </x:c>
    </x:row>
    <x:row r="53" s="39" customFormat="1" ht="15" customHeight="1">
      <x:c r="A53" s="80" t="n">
        <x:v>45806</x:v>
      </x:c>
      <x:c r="B53" s="76" t="n">
        <x:v>3</x:v>
      </x:c>
    </x:row>
    <x:row r="54" s="39" customFormat="1" ht="15" customHeight="1">
      <x:c r="A54" s="80" t="n">
        <x:v>45807</x:v>
      </x:c>
      <x:c r="B54" s="76" t="n">
        <x:v>8</x:v>
      </x:c>
    </x:row>
    <x:row r="55" s="39" customFormat="1" ht="15" customHeight="1">
      <x:c r="A55" s="80" t="n">
        <x:v>45808</x:v>
      </x:c>
      <x:c r="B55" s="76" t="n">
        <x:v>2</x:v>
      </x:c>
    </x:row>
    <x:row r="56" s="39" customFormat="1" ht="15" customHeight="1">
      <x:c r="A56" s="80" t="n">
        <x:v>45809</x:v>
      </x:c>
      <x:c r="B56" s="76" t="n">
        <x:v>2</x:v>
      </x:c>
    </x:row>
    <x:row r="57" s="39" customFormat="1" ht="15" customHeight="1">
      <x:c r="A57" s="80" t="n">
        <x:v>45810</x:v>
      </x:c>
      <x:c r="B57" s="76" t="n">
        <x:v>6</x:v>
      </x:c>
    </x:row>
    <x:row r="58" s="39" customFormat="1" ht="15" customHeight="1">
      <x:c r="A58" s="80" t="n">
        <x:v>45811</x:v>
      </x:c>
      <x:c r="B58" s="76" t="n">
        <x:v>4</x:v>
      </x:c>
    </x:row>
    <x:row r="59" s="39" customFormat="1" ht="15" customHeight="1">
      <x:c r="A59" s="80" t="n">
        <x:v>45812</x:v>
      </x:c>
      <x:c r="B59" s="76" t="n">
        <x:v>6</x:v>
      </x:c>
    </x:row>
    <x:row r="60" s="39" customFormat="1" ht="15" customHeight="1">
      <x:c r="A60" s="80" t="n">
        <x:v>45813</x:v>
      </x:c>
      <x:c r="B60" s="76" t="n">
        <x:v>12</x:v>
      </x:c>
    </x:row>
    <x:row r="61" s="39" customFormat="1" ht="15" customHeight="1">
      <x:c r="A61" s="80" t="n">
        <x:v>45814</x:v>
      </x:c>
      <x:c r="B61" s="76" t="n">
        <x:v>4</x:v>
      </x:c>
    </x:row>
    <x:row r="62" s="39" customFormat="1" ht="15" customHeight="1">
      <x:c r="A62" s="80" t="n">
        <x:v>45815</x:v>
      </x:c>
      <x:c r="B62" s="76" t="n">
        <x:v>1</x:v>
      </x:c>
    </x:row>
    <x:row r="63" s="39" customFormat="1" ht="15" customHeight="1">
      <x:c r="A63" s="80" t="n">
        <x:v>45817</x:v>
      </x:c>
      <x:c r="B63" s="76" t="n">
        <x:v>3</x:v>
      </x:c>
    </x:row>
    <x:row r="64" s="39" customFormat="1" ht="15" customHeight="1">
      <x:c r="A64" s="80" t="n">
        <x:v>45818</x:v>
      </x:c>
      <x:c r="B64" s="76" t="n">
        <x:v>5</x:v>
      </x:c>
    </x:row>
    <x:row r="65" s="39" customFormat="1" ht="15" customHeight="1">
      <x:c r="A65" s="80" t="n">
        <x:v>45819</x:v>
      </x:c>
      <x:c r="B65" s="76" t="n">
        <x:v>7</x:v>
      </x:c>
    </x:row>
    <x:row r="66" s="39" customFormat="1" ht="15" customHeight="1">
      <x:c r="A66" s="80" t="n">
        <x:v>45820</x:v>
      </x:c>
      <x:c r="B66" s="76" t="n">
        <x:v>7</x:v>
      </x:c>
    </x:row>
    <x:row r="67" s="39" customFormat="1" ht="15" customHeight="1">
      <x:c r="A67" s="80" t="n">
        <x:v>45821</x:v>
      </x:c>
      <x:c r="B67" s="76" t="n">
        <x:v>4</x:v>
      </x:c>
    </x:row>
    <x:row r="68" s="39" customFormat="1" ht="15" customHeight="1">
      <x:c r="A68" s="80" t="n">
        <x:v>45822</x:v>
      </x:c>
      <x:c r="B68" s="76" t="n">
        <x:v>4</x:v>
      </x:c>
    </x:row>
    <x:row r="69" s="39" customFormat="1" ht="15" customHeight="1">
      <x:c r="A69" s="80" t="n">
        <x:v>45823</x:v>
      </x:c>
      <x:c r="B69" s="76" t="n">
        <x:v>6</x:v>
      </x:c>
    </x:row>
    <x:row r="70" s="39" customFormat="1" ht="15" customHeight="1">
      <x:c r="A70" s="80" t="n">
        <x:v>45824</x:v>
      </x:c>
      <x:c r="B70" s="76" t="n">
        <x:v>9</x:v>
      </x:c>
    </x:row>
    <x:row r="71" s="39" customFormat="1" ht="15" customHeight="1">
      <x:c r="A71" s="80" t="n">
        <x:v>45825</x:v>
      </x:c>
      <x:c r="B71" s="76" t="n">
        <x:v>8</x:v>
      </x:c>
    </x:row>
    <x:row r="72" s="39" customFormat="1" ht="15" customHeight="1">
      <x:c r="A72" s="80" t="n">
        <x:v>45826</x:v>
      </x:c>
      <x:c r="B72" s="76" t="n">
        <x:v>9</x:v>
      </x:c>
    </x:row>
    <x:row r="73" s="39" customFormat="1" ht="15" customHeight="1">
      <x:c r="A73" s="80" t="n">
        <x:v>45827</x:v>
      </x:c>
      <x:c r="B73" s="76" t="n">
        <x:v>3</x:v>
      </x:c>
    </x:row>
    <x:row r="74" s="39" customFormat="1" ht="15" customHeight="1">
      <x:c r="A74" s="80" t="n">
        <x:v>45828</x:v>
      </x:c>
      <x:c r="B74" s="76" t="n">
        <x:v>1</x:v>
      </x:c>
    </x:row>
    <x:row r="75" s="39" customFormat="1" ht="15" customHeight="1">
      <x:c r="A75" s="80" t="n">
        <x:v>45829</x:v>
      </x:c>
      <x:c r="B75" s="76" t="n">
        <x:v>1</x:v>
      </x:c>
    </x:row>
    <x:row r="76" s="39" customFormat="1" ht="15" customHeight="1">
      <x:c r="A76" s="80" t="n">
        <x:v>45831</x:v>
      </x:c>
      <x:c r="B76" s="76" t="n">
        <x:v>6</x:v>
      </x:c>
    </x:row>
    <x:row r="77" s="39" customFormat="1" ht="15" customHeight="1">
      <x:c r="A77" s="80" t="n">
        <x:v>45832</x:v>
      </x:c>
      <x:c r="B77" s="76" t="n">
        <x:v>1</x:v>
      </x:c>
    </x:row>
    <x:row r="78" s="39" customFormat="1" ht="15" customHeight="1">
      <x:c r="A78" s="80" t="n">
        <x:v>45833</x:v>
      </x:c>
      <x:c r="B78" s="76" t="n">
        <x:v>13</x:v>
      </x:c>
    </x:row>
    <x:row r="79" s="39" customFormat="1" ht="15" customHeight="1">
      <x:c r="A79" s="80" t="n">
        <x:v>45834</x:v>
      </x:c>
      <x:c r="B79" s="76" t="n">
        <x:v>9</x:v>
      </x:c>
    </x:row>
    <x:row r="80" s="39" customFormat="1" ht="15" customHeight="1">
      <x:c r="A80" s="80" t="n">
        <x:v>45835</x:v>
      </x:c>
      <x:c r="B80" s="76" t="n">
        <x:v>5</x:v>
      </x:c>
    </x:row>
    <x:row r="81" s="39" customFormat="1" ht="15" customHeight="1">
      <x:c r="A81" s="80" t="n">
        <x:v>45836</x:v>
      </x:c>
      <x:c r="B81" s="76" t="n">
        <x:v>25</x:v>
      </x:c>
    </x:row>
    <x:row r="82" s="39" customFormat="1" ht="15" customHeight="1">
      <x:c r="A82" s="80" t="n">
        <x:v>45837</x:v>
      </x:c>
      <x:c r="B82" s="76" t="n">
        <x:v>10</x:v>
      </x:c>
    </x:row>
    <x:row r="83" s="39" customFormat="1" ht="15" customHeight="1">
      <x:c r="A83" s="80" t="n">
        <x:v>45838</x:v>
      </x:c>
      <x:c r="B83" s="76" t="n">
        <x:v>6</x:v>
      </x:c>
    </x:row>
    <x:row r="84" s="39" customFormat="1" ht="15" customHeight="1">
      <x:c r="A84" s="80" t="n">
        <x:v>45839</x:v>
      </x:c>
      <x:c r="B84" s="76" t="n">
        <x:v>7</x:v>
      </x:c>
    </x:row>
    <x:row r="85" s="39" customFormat="1" ht="15" customHeight="1">
      <x:c r="A85" s="80" t="n">
        <x:v>45840</x:v>
      </x:c>
      <x:c r="B85" s="76" t="n">
        <x:v>6</x:v>
      </x:c>
    </x:row>
    <x:row r="86" s="39" customFormat="1" ht="15" customHeight="1">
      <x:c r="A86" s="80" t="n">
        <x:v>45841</x:v>
      </x:c>
      <x:c r="B86" s="76" t="n">
        <x:v>10</x:v>
      </x:c>
    </x:row>
    <x:row r="87" s="39" customFormat="1" ht="15" customHeight="1">
      <x:c r="A87" s="80" t="n">
        <x:v>45842</x:v>
      </x:c>
      <x:c r="B87" s="76" t="n">
        <x:v>2</x:v>
      </x:c>
    </x:row>
    <x:row r="88" s="39" customFormat="1" ht="15" customHeight="1">
      <x:c r="A88" s="80" t="n">
        <x:v>45843</x:v>
      </x:c>
      <x:c r="B88" s="76" t="n">
        <x:v>2</x:v>
      </x:c>
    </x:row>
    <x:row r="89" s="39" customFormat="1" ht="15" customHeight="1">
      <x:c r="A89" s="80" t="n">
        <x:v>45844</x:v>
      </x:c>
      <x:c r="B89" s="76" t="n">
        <x:v>3</x:v>
      </x:c>
    </x:row>
    <x:row r="90" s="39" customFormat="1" ht="15" customHeight="1">
      <x:c r="A90" s="80" t="n">
        <x:v>45845</x:v>
      </x:c>
      <x:c r="B90" s="76" t="n">
        <x:v>2</x:v>
      </x:c>
    </x:row>
    <x:row r="91" s="39" customFormat="1" ht="15" customHeight="1">
      <x:c r="A91" s="80" t="n">
        <x:v>45846</x:v>
      </x:c>
      <x:c r="B91" s="76" t="n">
        <x:v>3</x:v>
      </x:c>
    </x:row>
    <x:row r="92" s="39" customFormat="1" ht="15" customHeight="1">
      <x:c r="A92" s="80" t="n">
        <x:v>45847</x:v>
      </x:c>
      <x:c r="B92" s="76" t="n">
        <x:v>4</x:v>
      </x:c>
    </x:row>
    <x:row r="93" s="39" customFormat="1" ht="15" customHeight="1">
      <x:c r="A93" s="80" t="n">
        <x:v>45848</x:v>
      </x:c>
      <x:c r="B93" s="76" t="n">
        <x:v>3</x:v>
      </x:c>
    </x:row>
    <x:row r="94" s="39" customFormat="1" ht="15" customHeight="1">
      <x:c r="A94" s="80" t="n">
        <x:v>45849</x:v>
      </x:c>
      <x:c r="B94" s="76" t="n">
        <x:v>14</x:v>
      </x:c>
    </x:row>
    <x:row r="95" s="39" customFormat="1" ht="15" customHeight="1">
      <x:c r="A95" s="80" t="n">
        <x:v>45850</x:v>
      </x:c>
      <x:c r="B95" s="76" t="n">
        <x:v>12</x:v>
      </x:c>
    </x:row>
    <x:row r="96" s="39" customFormat="1" ht="15" customHeight="1">
      <x:c r="A96" s="80" t="n">
        <x:v>45851</x:v>
      </x:c>
      <x:c r="B96" s="76" t="n">
        <x:v>7</x:v>
      </x:c>
    </x:row>
    <x:row r="97" s="39" customFormat="1" ht="15" customHeight="1">
      <x:c r="A97" s="80" t="n">
        <x:v>45852</x:v>
      </x:c>
      <x:c r="B97" s="76" t="n">
        <x:v>3</x:v>
      </x:c>
    </x:row>
    <x:row r="98" s="39" customFormat="1" ht="15" customHeight="1">
      <x:c r="A98" s="80" t="n">
        <x:v>45853</x:v>
      </x:c>
      <x:c r="B98" s="76" t="n">
        <x:v>13</x:v>
      </x:c>
    </x:row>
    <x:row r="99" s="39" customFormat="1" ht="15" customHeight="1">
      <x:c r="A99" s="80" t="n">
        <x:v>45854</x:v>
      </x:c>
      <x:c r="B99" s="76" t="n">
        <x:v>8</x:v>
      </x:c>
    </x:row>
    <x:row r="100" s="39" customFormat="1" ht="15" customHeight="1">
      <x:c r="A100" s="80" t="n">
        <x:v>45855</x:v>
      </x:c>
      <x:c r="B100" s="76" t="n">
        <x:v>5</x:v>
      </x:c>
    </x:row>
    <x:row r="101" s="39" customFormat="1" ht="15" customHeight="1">
      <x:c r="A101" s="80" t="n">
        <x:v>45856</x:v>
      </x:c>
      <x:c r="B101" s="76" t="n">
        <x:v>7</x:v>
      </x:c>
    </x:row>
    <x:row r="102" s="39" customFormat="1" ht="15" customHeight="1">
      <x:c r="A102" s="80" t="n">
        <x:v>45857</x:v>
      </x:c>
      <x:c r="B102" s="76" t="n">
        <x:v>3</x:v>
      </x:c>
    </x:row>
    <x:row r="103" s="39" customFormat="1" ht="15" customHeight="1">
      <x:c r="A103" s="80" t="n">
        <x:v>45858</x:v>
      </x:c>
      <x:c r="B103" s="76" t="n">
        <x:v>9</x:v>
      </x:c>
    </x:row>
    <x:row r="104" s="39" customFormat="1" ht="15" customHeight="1">
      <x:c r="A104" s="80" t="n">
        <x:v>45859</x:v>
      </x:c>
      <x:c r="B104" s="76" t="n">
        <x:v>33</x:v>
      </x:c>
    </x:row>
    <x:row r="105" s="39" customFormat="1" ht="15" customHeight="1">
      <x:c r="A105" s="80" t="n">
        <x:v>45860</x:v>
      </x:c>
      <x:c r="B105" s="76" t="n">
        <x:v>5</x:v>
      </x:c>
    </x:row>
    <x:row r="106" s="39" customFormat="1" ht="15" customHeight="1">
      <x:c r="A106" s="80" t="n">
        <x:v>45861</x:v>
      </x:c>
      <x:c r="B106" s="76" t="n">
        <x:v>10</x:v>
      </x:c>
    </x:row>
    <x:row r="107" s="39" customFormat="1" ht="15" customHeight="1">
      <x:c r="A107" s="80" t="n">
        <x:v>45862</x:v>
      </x:c>
      <x:c r="B107" s="76" t="n">
        <x:v>13</x:v>
      </x:c>
    </x:row>
    <x:row r="108" s="39" customFormat="1" ht="15" customHeight="1">
      <x:c r="A108" s="80" t="n">
        <x:v>45863</x:v>
      </x:c>
      <x:c r="B108" s="76" t="n">
        <x:v>15</x:v>
      </x:c>
    </x:row>
    <x:row r="109" s="39" customFormat="1" ht="15" customHeight="1">
      <x:c r="A109" s="80" t="n">
        <x:v>45864</x:v>
      </x:c>
      <x:c r="B109" s="76" t="n">
        <x:v>8</x:v>
      </x:c>
    </x:row>
    <x:row r="110" s="39" customFormat="1" ht="15" customHeight="1">
      <x:c r="A110" s="80" t="n">
        <x:v>45865</x:v>
      </x:c>
      <x:c r="B110" s="76" t="n">
        <x:v>5</x:v>
      </x:c>
    </x:row>
    <x:row r="111" s="39" customFormat="1" ht="15" customHeight="1">
      <x:c r="A111" s="80" t="n">
        <x:v>45866</x:v>
      </x:c>
      <x:c r="B111" s="76" t="n">
        <x:v>9</x:v>
      </x:c>
    </x:row>
    <x:row r="112" s="39" customFormat="1" ht="15" customHeight="1">
      <x:c r="A112" s="80" t="n">
        <x:v>45867</x:v>
      </x:c>
      <x:c r="B112" s="76" t="n">
        <x:v>15</x:v>
      </x:c>
    </x:row>
    <x:row r="113" s="39" customFormat="1" ht="15" customHeight="1">
      <x:c r="A113" s="80" t="n">
        <x:v>45868</x:v>
      </x:c>
      <x:c r="B113" s="76" t="n">
        <x:v>3</x:v>
      </x:c>
    </x:row>
    <x:row r="114" s="39" customFormat="1" ht="15" customHeight="1">
      <x:c r="A114" s="80" t="n">
        <x:v>45869</x:v>
      </x:c>
      <x:c r="B114" s="76" t="n">
        <x:v>8</x:v>
      </x:c>
    </x:row>
    <x:row r="115" s="39" customFormat="1" ht="15" customHeight="1">
      <x:c r="A115" s="80" t="n">
        <x:v>45870</x:v>
      </x:c>
      <x:c r="B115" s="76" t="n">
        <x:v>3</x:v>
      </x:c>
    </x:row>
    <x:row r="116" s="39" customFormat="1" ht="15" customHeight="1">
      <x:c r="A116" s="80" t="n">
        <x:v>45871</x:v>
      </x:c>
      <x:c r="B116" s="76" t="n">
        <x:v>4</x:v>
      </x:c>
    </x:row>
    <x:row r="117" s="39" customFormat="1" ht="15" customHeight="1">
      <x:c r="A117" s="80" t="n">
        <x:v>45872</x:v>
      </x:c>
      <x:c r="B117" s="76" t="n">
        <x:v>1</x:v>
      </x:c>
    </x:row>
    <x:row r="118" s="39" customFormat="1" ht="15" customHeight="1">
      <x:c r="A118" s="80" t="n">
        <x:v>45873</x:v>
      </x:c>
      <x:c r="B118" s="76" t="n">
        <x:v>6</x:v>
      </x:c>
    </x:row>
    <x:row r="119" s="39" customFormat="1" ht="15" customHeight="1">
      <x:c r="A119" s="80" t="n">
        <x:v>45874</x:v>
      </x:c>
      <x:c r="B119" s="76" t="n">
        <x:v>3</x:v>
      </x:c>
    </x:row>
    <x:row r="120" s="39" customFormat="1" ht="15" customHeight="1">
      <x:c r="A120" s="80" t="n">
        <x:v>45875</x:v>
      </x:c>
      <x:c r="B120" s="76" t="n">
        <x:v>10</x:v>
      </x:c>
    </x:row>
    <x:row r="121" s="39" customFormat="1" ht="15" customHeight="1">
      <x:c r="A121" s="80" t="n">
        <x:v>45876</x:v>
      </x:c>
      <x:c r="B121" s="76" t="n">
        <x:v>5</x:v>
      </x:c>
    </x:row>
    <x:row r="122" s="39" customFormat="1" ht="15" customHeight="1">
      <x:c r="A122" s="80" t="n">
        <x:v>45877</x:v>
      </x:c>
      <x:c r="B122" s="76" t="n">
        <x:v>8</x:v>
      </x:c>
    </x:row>
    <x:row r="123" s="39" customFormat="1" ht="15" customHeight="1">
      <x:c r="A123" s="80" t="n">
        <x:v>45878</x:v>
      </x:c>
      <x:c r="B123" s="76" t="n">
        <x:v>5</x:v>
      </x:c>
    </x:row>
    <x:row r="124" s="39" customFormat="1" ht="15" customHeight="1">
      <x:c r="A124" s="80" t="n">
        <x:v>45879</x:v>
      </x:c>
      <x:c r="B124" s="76" t="n">
        <x:v>5</x:v>
      </x:c>
    </x:row>
    <x:row r="125" s="39" customFormat="1" ht="15" customHeight="1">
      <x:c r="A125" s="80" t="n">
        <x:v>45880</x:v>
      </x:c>
      <x:c r="B125" s="76" t="n">
        <x:v>5</x:v>
      </x:c>
    </x:row>
    <x:row r="126" s="39" customFormat="1" ht="15" customHeight="1">
      <x:c r="A126" s="80" t="n">
        <x:v>45881</x:v>
      </x:c>
      <x:c r="B126" s="76" t="n">
        <x:v>8</x:v>
      </x:c>
    </x:row>
    <x:row r="127" s="39" customFormat="1" ht="15" customHeight="1">
      <x:c r="A127" s="80" t="n">
        <x:v>45882</x:v>
      </x:c>
      <x:c r="B127" s="76" t="n">
        <x:v>23</x:v>
      </x:c>
    </x:row>
    <x:row r="128" s="39" customFormat="1" ht="15" customHeight="1">
      <x:c r="A128" s="80" t="n">
        <x:v>45883</x:v>
      </x:c>
      <x:c r="B128" s="76" t="n">
        <x:v>17</x:v>
      </x:c>
    </x:row>
    <x:row r="129" s="39" customFormat="1" ht="15" customHeight="1">
      <x:c r="A129" s="80" t="n">
        <x:v>45884</x:v>
      </x:c>
      <x:c r="B129" s="76" t="n">
        <x:v>24</x:v>
      </x:c>
    </x:row>
    <x:row r="130" s="39" customFormat="1" ht="15" customHeight="1">
      <x:c r="A130" s="80" t="n">
        <x:v>45885</x:v>
      </x:c>
      <x:c r="B130" s="76" t="n">
        <x:v>5</x:v>
      </x:c>
    </x:row>
    <x:row r="131" s="39" customFormat="1" ht="15" customHeight="1">
      <x:c r="A131" s="80" t="n">
        <x:v>45886</x:v>
      </x:c>
      <x:c r="B131" s="76" t="n">
        <x:v>2</x:v>
      </x:c>
    </x:row>
    <x:row r="132" s="39" customFormat="1" ht="15" customHeight="1">
      <x:c r="A132" s="80" t="n">
        <x:v>45887</x:v>
      </x:c>
      <x:c r="B132" s="76" t="n">
        <x:v>8</x:v>
      </x:c>
    </x:row>
    <x:row r="133" s="39" customFormat="1" ht="15" customHeight="1">
      <x:c r="A133" s="80" t="n">
        <x:v>45888</x:v>
      </x:c>
      <x:c r="B133" s="76" t="n">
        <x:v>8</x:v>
      </x:c>
    </x:row>
    <x:row r="134" s="39" customFormat="1" ht="15" customHeight="1">
      <x:c r="A134" s="80" t="n">
        <x:v>45889</x:v>
      </x:c>
      <x:c r="B134" s="76" t="n">
        <x:v>16</x:v>
      </x:c>
    </x:row>
    <x:row r="135" s="39" customFormat="1" ht="15" customHeight="1">
      <x:c r="A135" s="80" t="n">
        <x:v>45890</x:v>
      </x:c>
      <x:c r="B135" s="76" t="n">
        <x:v>10</x:v>
      </x:c>
    </x:row>
    <x:row r="136" s="39" customFormat="1" ht="15" customHeight="1">
      <x:c r="A136" s="80" t="n">
        <x:v>45891</x:v>
      </x:c>
      <x:c r="B136" s="76" t="n">
        <x:v>17</x:v>
      </x:c>
    </x:row>
    <x:row r="137" s="39" customFormat="1" ht="15" customHeight="1">
      <x:c r="A137" s="80" t="n">
        <x:v>45892</x:v>
      </x:c>
      <x:c r="B137" s="76" t="n">
        <x:v>5</x:v>
      </x:c>
    </x:row>
    <x:row r="138" s="39" customFormat="1" ht="15" customHeight="1">
      <x:c r="A138" s="80" t="n">
        <x:v>45893</x:v>
      </x:c>
      <x:c r="B138" s="76" t="n">
        <x:v>4</x:v>
      </x:c>
    </x:row>
    <x:row r="139" s="39" customFormat="1" ht="15" customHeight="1">
      <x:c r="A139" s="80" t="n">
        <x:v>45894</x:v>
      </x:c>
      <x:c r="B139" s="76" t="n">
        <x:v>5</x:v>
      </x:c>
    </x:row>
    <x:row r="140" s="39" customFormat="1" ht="15" customHeight="1">
      <x:c r="A140" s="80" t="n">
        <x:v>45895</x:v>
      </x:c>
      <x:c r="B140" s="76" t="n">
        <x:v>7</x:v>
      </x:c>
    </x:row>
    <x:row r="141" s="39" customFormat="1" ht="15" customHeight="1">
      <x:c r="A141" s="80" t="n">
        <x:v>45896</x:v>
      </x:c>
      <x:c r="B141" s="76" t="n">
        <x:v>12</x:v>
      </x:c>
    </x:row>
    <x:row r="142" s="39" customFormat="1" ht="15" customHeight="1">
      <x:c r="A142" s="80" t="n">
        <x:v>45897</x:v>
      </x:c>
      <x:c r="B142" s="76" t="n">
        <x:v>28</x:v>
      </x:c>
    </x:row>
    <x:row r="143" s="39" customFormat="1" ht="15" customHeight="1">
      <x:c r="A143" s="80" t="n">
        <x:v>45898</x:v>
      </x:c>
      <x:c r="B143" s="76" t="n">
        <x:v>13</x:v>
      </x:c>
    </x:row>
    <x:row r="144" s="39" customFormat="1" ht="15" customHeight="1">
      <x:c r="A144" s="80" t="n">
        <x:v>45899</x:v>
      </x:c>
      <x:c r="B144" s="76" t="n">
        <x:v>5</x:v>
      </x:c>
    </x:row>
    <x:row r="145" s="39" customFormat="1" ht="15" customHeight="1">
      <x:c r="A145" s="80" t="n">
        <x:v>45900</x:v>
      </x:c>
      <x:c r="B145" s="76" t="n">
        <x:v>1</x:v>
      </x:c>
    </x:row>
    <x:row r="146" s="39" customFormat="1" ht="15" customHeight="1">
      <x:c r="A146" s="80" t="n">
        <x:v>45901</x:v>
      </x:c>
      <x:c r="B146" s="76" t="n">
        <x:v>3</x:v>
      </x:c>
    </x:row>
    <x:row r="147" s="39" customFormat="1" ht="15" customHeight="1">
      <x:c r="A147" s="80" t="n">
        <x:v>45902</x:v>
      </x:c>
      <x:c r="B147" s="76" t="n">
        <x:v>14</x:v>
      </x:c>
    </x:row>
    <x:row r="148" s="39" customFormat="1" ht="15" customHeight="1">
      <x:c r="A148" s="80" t="n">
        <x:v>45903</x:v>
      </x:c>
      <x:c r="B148" s="76" t="n">
        <x:v>28</x:v>
      </x:c>
    </x:row>
    <x:row r="149" s="39" customFormat="1" ht="15" customHeight="1">
      <x:c r="A149" s="80" t="n">
        <x:v>45904</x:v>
      </x:c>
      <x:c r="B149" s="76" t="n">
        <x:v>43</x:v>
      </x:c>
    </x:row>
    <x:row r="150" s="39" customFormat="1" ht="15" customHeight="1">
      <x:c r="A150" s="80" t="n">
        <x:v>45905</x:v>
      </x:c>
      <x:c r="B150" s="76" t="n">
        <x:v>12</x:v>
      </x:c>
    </x:row>
    <x:row r="151" s="39" customFormat="1" ht="15" customHeight="1">
      <x:c r="A151" s="80" t="n">
        <x:v>45906</x:v>
      </x:c>
      <x:c r="B151" s="76" t="n">
        <x:v>5</x:v>
      </x:c>
    </x:row>
    <x:row r="152" s="39" customFormat="1" ht="15" customHeight="1">
      <x:c r="A152" s="80" t="n">
        <x:v>45907</x:v>
      </x:c>
      <x:c r="B152" s="76" t="n">
        <x:v>1</x:v>
      </x:c>
    </x:row>
    <x:row r="153" s="39" customFormat="1" ht="15" customHeight="1">
      <x:c r="A153" s="80" t="n">
        <x:v>45908</x:v>
      </x:c>
      <x:c r="B153" s="76" t="n">
        <x:v>9</x:v>
      </x:c>
    </x:row>
    <x:row r="154" s="39" customFormat="1" ht="15" customHeight="1">
      <x:c r="A154" s="80" t="n">
        <x:v>45909</x:v>
      </x:c>
      <x:c r="B154" s="76" t="n">
        <x:v>10</x:v>
      </x:c>
    </x:row>
    <x:row r="155" s="39" customFormat="1" ht="15" customHeight="1">
      <x:c r="A155" s="80" t="n">
        <x:v>45910</x:v>
      </x:c>
      <x:c r="B155" s="76" t="n">
        <x:v>6</x:v>
      </x:c>
    </x:row>
    <x:row r="156" s="39" customFormat="1" ht="15" customHeight="1">
      <x:c r="A156" s="80" t="n">
        <x:v>45911</x:v>
      </x:c>
      <x:c r="B156" s="76" t="n">
        <x:v>10</x:v>
      </x:c>
    </x:row>
    <x:row r="157" s="39" customFormat="1" ht="15" customHeight="1">
      <x:c r="A157" s="80" t="n">
        <x:v>45912</x:v>
      </x:c>
      <x:c r="B157" s="76" t="n">
        <x:v>5</x:v>
      </x:c>
    </x:row>
    <x:row r="158" s="39" customFormat="1" ht="15" customHeight="1">
      <x:c r="A158" s="80" t="n">
        <x:v>45913</x:v>
      </x:c>
      <x:c r="B158" s="76" t="n">
        <x:v>4</x:v>
      </x:c>
    </x:row>
    <x:row r="159" s="39" customFormat="1" ht="15" customHeight="1">
      <x:c r="A159" s="80" t="n">
        <x:v>45914</x:v>
      </x:c>
      <x:c r="B159" s="76" t="n">
        <x:v>1</x:v>
      </x:c>
    </x:row>
    <x:row r="160" s="39" customFormat="1" ht="15" customHeight="1">
      <x:c r="A160" s="80" t="n">
        <x:v>45915</x:v>
      </x:c>
      <x:c r="B160" s="76" t="n">
        <x:v>3</x:v>
      </x:c>
    </x:row>
    <x:row r="161" s="39" customFormat="1" ht="15" customHeight="1">
      <x:c r="A161" s="80" t="n">
        <x:v>45916</x:v>
      </x:c>
      <x:c r="B161" s="76" t="n">
        <x:v>2</x:v>
      </x:c>
    </x:row>
    <x:row r="162" s="39" customFormat="1" ht="15" customHeight="1">
      <x:c r="A162" s="80" t="n">
        <x:v>45917</x:v>
      </x:c>
      <x:c r="B162" s="76" t="n">
        <x:v>7</x:v>
      </x:c>
    </x:row>
    <x:row r="163" s="39" customFormat="1" ht="15" customHeight="1">
      <x:c r="A163" s="80" t="n">
        <x:v>45918</x:v>
      </x:c>
      <x:c r="B163" s="76" t="n">
        <x:v>42</x:v>
      </x:c>
    </x:row>
    <x:row r="164" s="39" customFormat="1" ht="15" customHeight="1">
      <x:c r="A164" s="80" t="n">
        <x:v>45919</x:v>
      </x:c>
      <x:c r="B164" s="76" t="n">
        <x:v>8</x:v>
      </x:c>
    </x:row>
    <x:row r="165" s="39" customFormat="1" ht="15" customHeight="1">
      <x:c r="A165" s="80" t="n">
        <x:v>45920</x:v>
      </x:c>
      <x:c r="B165" s="76" t="n">
        <x:v>3</x:v>
      </x:c>
    </x:row>
    <x:row r="166" s="39" customFormat="1" ht="15" customHeight="1">
      <x:c r="A166" s="80" t="n">
        <x:v>45921</x:v>
      </x:c>
      <x:c r="B166" s="76" t="n">
        <x:v>3</x:v>
      </x:c>
    </x:row>
    <x:row r="167" s="39" customFormat="1" ht="15" customHeight="1">
      <x:c r="A167" s="80" t="n">
        <x:v>45922</x:v>
      </x:c>
      <x:c r="B167" s="76" t="n">
        <x:v>12</x:v>
      </x:c>
    </x:row>
    <x:row r="168" s="39" customFormat="1" ht="15" customHeight="1">
      <x:c r="A168" s="80" t="n">
        <x:v>45923</x:v>
      </x:c>
      <x:c r="B168" s="76" t="n">
        <x:v>13</x:v>
      </x:c>
    </x:row>
    <x:row r="169" s="39" customFormat="1" ht="15" customHeight="1">
      <x:c r="A169" s="80" t="n">
        <x:v>45924</x:v>
      </x:c>
      <x:c r="B169" s="76" t="n">
        <x:v>13</x:v>
      </x:c>
    </x:row>
    <x:row r="170" s="39" customFormat="1" ht="15" customHeight="1">
      <x:c r="A170" s="80" t="n">
        <x:v>45925</x:v>
      </x:c>
      <x:c r="B170" s="76" t="n">
        <x:v>16</x:v>
      </x:c>
    </x:row>
    <x:row r="171" s="39" customFormat="1" ht="15" customHeight="1">
      <x:c r="A171" s="80" t="n">
        <x:v>45926</x:v>
      </x:c>
      <x:c r="B171" s="76" t="n">
        <x:v>15</x:v>
      </x:c>
    </x:row>
    <x:row r="172" s="39" customFormat="1" ht="15" customHeight="1">
      <x:c r="A172" s="80" t="n">
        <x:v>45927</x:v>
      </x:c>
      <x:c r="B172" s="76" t="n">
        <x:v>14</x:v>
      </x:c>
    </x:row>
    <x:row r="173" s="39" customFormat="1" ht="15" customHeight="1">
      <x:c r="A173" s="80" t="n">
        <x:v>45928</x:v>
      </x:c>
      <x:c r="B173" s="76" t="n">
        <x:v>3</x:v>
      </x:c>
    </x:row>
    <x:row r="174" s="39" customFormat="1" ht="15" customHeight="1">
      <x:c r="A174" s="80" t="n">
        <x:v>45929</x:v>
      </x:c>
      <x:c r="B174" s="76" t="n">
        <x:v>6</x:v>
      </x:c>
    </x:row>
    <x:row r="175" s="39" customFormat="1" ht="15" customHeight="1">
      <x:c r="A175" s="80" t="n">
        <x:v>45930</x:v>
      </x:c>
      <x:c r="B175" s="76" t="n">
        <x:v>10</x:v>
      </x:c>
    </x:row>
    <x:row r="176" s="39" customFormat="1" ht="15" customHeight="1">
      <x:c r="A176" s="80" t="n">
        <x:v>45931</x:v>
      </x:c>
      <x:c r="B176" s="76" t="n">
        <x:v>13</x:v>
      </x:c>
    </x:row>
    <x:row r="177" s="39" customFormat="1" ht="15" customHeight="1">
      <x:c r="A177" s="80" t="n">
        <x:v>45932</x:v>
      </x:c>
      <x:c r="B177" s="76" t="n">
        <x:v>6</x:v>
      </x:c>
    </x:row>
    <x:row r="178" s="39" customFormat="1" ht="15" customHeight="1">
      <x:c r="A178" s="80" t="n">
        <x:v>45933</x:v>
      </x:c>
      <x:c r="B178" s="76" t="n">
        <x:v>16</x:v>
      </x:c>
    </x:row>
    <x:row r="179" s="39" customFormat="1" ht="15" customHeight="1">
      <x:c r="A179" s="80" t="n">
        <x:v>45934</x:v>
      </x:c>
      <x:c r="B179" s="76" t="n">
        <x:v>19</x:v>
      </x:c>
    </x:row>
    <x:row r="180" s="39" customFormat="1" ht="15" customHeight="1">
      <x:c r="A180" s="80" t="n">
        <x:v>45935</x:v>
      </x:c>
      <x:c r="B180" s="76" t="n">
        <x:v>4</x:v>
      </x:c>
    </x:row>
    <x:row r="181" s="39" customFormat="1" ht="15" customHeight="1">
      <x:c r="A181" s="80" t="n">
        <x:v>45936</x:v>
      </x:c>
      <x:c r="B181" s="76" t="n">
        <x:v>10</x:v>
      </x:c>
    </x:row>
    <x:row r="182" s="39" customFormat="1" ht="15" customHeight="1">
      <x:c r="A182" s="80" t="n">
        <x:v>45937</x:v>
      </x:c>
      <x:c r="B182" s="76" t="n">
        <x:v>14</x:v>
      </x:c>
    </x:row>
    <x:row r="183" s="39" customFormat="1" ht="15" customHeight="1">
      <x:c r="A183" s="80" t="n">
        <x:v>45938</x:v>
      </x:c>
      <x:c r="B183" s="76" t="n">
        <x:v>10</x:v>
      </x:c>
    </x:row>
    <x:row r="184" s="39" customFormat="1" ht="15" customHeight="1">
      <x:c r="A184" s="80" t="n">
        <x:v>45939</x:v>
      </x:c>
      <x:c r="B184" s="76" t="n">
        <x:v>7</x:v>
      </x:c>
    </x:row>
    <x:row r="185" s="39" customFormat="1" ht="15" customHeight="1">
      <x:c r="A185" s="80" t="n">
        <x:v>45940</x:v>
      </x:c>
      <x:c r="B185" s="76" t="n">
        <x:v>14</x:v>
      </x:c>
    </x:row>
    <x:row r="186" s="39" customFormat="1" ht="15" customHeight="1">
      <x:c r="A186" s="80" t="n">
        <x:v>45941</x:v>
      </x:c>
      <x:c r="B186" s="76" t="n">
        <x:v>2</x:v>
      </x:c>
    </x:row>
    <x:row r="187" s="39" customFormat="1" ht="15" customHeight="1">
      <x:c r="A187" s="80" t="n">
        <x:v>45942</x:v>
      </x:c>
      <x:c r="B187" s="76" t="n">
        <x:v>5</x:v>
      </x:c>
    </x:row>
    <x:row r="188" s="39" customFormat="1" ht="15" customHeight="1">
      <x:c r="A188" s="80" t="n">
        <x:v>45943</x:v>
      </x:c>
      <x:c r="B188" s="76" t="n">
        <x:v>2</x:v>
      </x:c>
    </x:row>
    <x:row r="189" s="39" customFormat="1" ht="15" customHeight="1">
      <x:c r="A189" s="80" t="n">
        <x:v>45944</x:v>
      </x:c>
      <x:c r="B189" s="76" t="n">
        <x:v>4</x:v>
      </x:c>
    </x:row>
    <x:row r="190" s="39" customFormat="1" ht="15" customHeight="1">
      <x:c r="A190" s="80" t="n">
        <x:v>45945</x:v>
      </x:c>
      <x:c r="B190" s="76" t="n">
        <x:v>3</x:v>
      </x:c>
    </x:row>
    <x:row r="191" s="39" customFormat="1" ht="15" customHeight="1">
      <x:c r="A191" s="80" t="n">
        <x:v>45946</x:v>
      </x:c>
      <x:c r="B191" s="76" t="n">
        <x:v>16</x:v>
      </x:c>
    </x:row>
    <x:row r="192" s="39" customFormat="1" ht="15" customHeight="1">
      <x:c r="A192" s="80" t="n">
        <x:v>45947</x:v>
      </x:c>
      <x:c r="B192" s="76" t="n">
        <x:v>13</x:v>
      </x:c>
    </x:row>
    <x:row r="193" s="39" customFormat="1" ht="15" customHeight="1">
      <x:c r="A193" s="80" t="n">
        <x:v>45948</x:v>
      </x:c>
      <x:c r="B193" s="76" t="n">
        <x:v>25</x:v>
      </x:c>
    </x:row>
    <x:row r="194" s="39" customFormat="1" ht="15" customHeight="1">
      <x:c r="A194" s="80" t="n">
        <x:v>45949</x:v>
      </x:c>
      <x:c r="B194" s="76" t="n">
        <x:v>18</x:v>
      </x:c>
    </x:row>
    <x:row r="195" s="39" customFormat="1" ht="15" customHeight="1">
      <x:c r="A195" s="80" t="n">
        <x:v>45950</x:v>
      </x:c>
      <x:c r="B195" s="76" t="n">
        <x:v>20</x:v>
      </x:c>
    </x:row>
    <x:row r="196" s="39" customFormat="1" ht="15" customHeight="1">
      <x:c r="A196" s="80" t="n">
        <x:v>45951</x:v>
      </x:c>
      <x:c r="B196" s="76" t="n">
        <x:v>15</x:v>
      </x:c>
    </x:row>
    <x:row r="197" s="39" customFormat="1" ht="15" customHeight="1">
      <x:c r="A197" s="80" t="n">
        <x:v>45952</x:v>
      </x:c>
      <x:c r="B197" s="76" t="n">
        <x:v>12</x:v>
      </x:c>
    </x:row>
    <x:row r="198" s="39" customFormat="1" ht="15" customHeight="1">
      <x:c r="A198" s="80" t="n">
        <x:v>45953</x:v>
      </x:c>
      <x:c r="B198" s="76" t="n">
        <x:v>16</x:v>
      </x:c>
    </x:row>
    <x:row r="199" s="39" customFormat="1" ht="15" customHeight="1">
      <x:c r="A199" s="80" t="n">
        <x:v>45954</x:v>
      </x:c>
      <x:c r="B199" s="76" t="n">
        <x:v>19</x:v>
      </x:c>
    </x:row>
    <x:row r="200" s="39" customFormat="1" ht="15" customHeight="1">
      <x:c r="A200" s="80" t="n">
        <x:v>45955</x:v>
      </x:c>
      <x:c r="B200" s="76" t="n">
        <x:v>5</x:v>
      </x:c>
    </x:row>
    <x:row r="201" s="39" customFormat="1" ht="15" customHeight="1">
      <x:c r="A201" s="80" t="n">
        <x:v>45956</x:v>
      </x:c>
      <x:c r="B201" s="76" t="n">
        <x:v>6</x:v>
      </x:c>
    </x:row>
    <x:row r="202" s="39" customFormat="1" ht="15" customHeight="1">
      <x:c r="A202" s="80" t="n">
        <x:v>45957</x:v>
      </x:c>
      <x:c r="B202" s="76" t="n">
        <x:v>9</x:v>
      </x:c>
    </x:row>
    <x:row r="203" s="39" customFormat="1" ht="15" customHeight="1">
      <x:c r="A203" s="80" t="n">
        <x:v>45958</x:v>
      </x:c>
      <x:c r="B203" s="76" t="n">
        <x:v>15</x:v>
      </x:c>
    </x:row>
    <x:row r="204" s="39" customFormat="1" ht="15" customHeight="1">
      <x:c r="A204" s="80" t="n">
        <x:v>45959</x:v>
      </x:c>
      <x:c r="B204" s="76" t="n">
        <x:v>12</x:v>
      </x:c>
    </x:row>
    <x:row r="205" s="39" customFormat="1" ht="15" customHeight="1">
      <x:c r="A205" s="80" t="n">
        <x:v>45960</x:v>
      </x:c>
      <x:c r="B205" s="76" t="n">
        <x:v>16</x:v>
      </x:c>
    </x:row>
    <x:row r="206" s="39" customFormat="1" ht="15" customHeight="1">
      <x:c r="A206" s="80" t="n">
        <x:v>45961</x:v>
      </x:c>
      <x:c r="B206" s="76" t="n">
        <x:v>18</x:v>
      </x:c>
    </x:row>
    <x:row r="207" s="39" customFormat="1" ht="15" customHeight="1">
      <x:c r="A207" s="80" t="n">
        <x:v>45962</x:v>
      </x:c>
      <x:c r="B207" s="76" t="n">
        <x:v>5</x:v>
      </x:c>
    </x:row>
    <x:row r="208" s="39" customFormat="1" ht="15" customHeight="1">
      <x:c r="A208" s="80" t="n">
        <x:v>45963</x:v>
      </x:c>
      <x:c r="B208" s="76" t="n">
        <x:v>8</x:v>
      </x:c>
    </x:row>
    <x:row r="209" s="39" customFormat="1" ht="15" customHeight="1">
      <x:c r="A209" s="80" t="n">
        <x:v>45964</x:v>
      </x:c>
      <x:c r="B209" s="76" t="n">
        <x:v>6</x:v>
      </x:c>
    </x:row>
    <x:row r="210" s="39" customFormat="1" ht="15" customHeight="1">
      <x:c r="A210" s="80" t="n">
        <x:v>45965</x:v>
      </x:c>
      <x:c r="B210" s="76" t="n">
        <x:v>22</x:v>
      </x:c>
    </x:row>
    <x:row r="211" s="39" customFormat="1" ht="15" customHeight="1">
      <x:c r="A211" s="80" t="n">
        <x:v>45966</x:v>
      </x:c>
      <x:c r="B211" s="76" t="n">
        <x:v>20</x:v>
      </x:c>
    </x:row>
    <x:row r="212" s="39" customFormat="1" ht="15" customHeight="1">
      <x:c r="A212" s="80" t="n">
        <x:v>45967</x:v>
      </x:c>
      <x:c r="B212" s="76" t="n">
        <x:v>14</x:v>
      </x:c>
    </x:row>
    <x:row r="213" s="39" customFormat="1" ht="15" customHeight="1">
      <x:c r="A213" s="80" t="n">
        <x:v>45968</x:v>
      </x:c>
      <x:c r="B213" s="76" t="n">
        <x:v>7</x:v>
      </x:c>
    </x:row>
    <x:row r="214" s="39" customFormat="1" ht="15" customHeight="1">
      <x:c r="A214" s="80" t="n">
        <x:v>45969</x:v>
      </x:c>
      <x:c r="B214" s="76" t="n">
        <x:v>9</x:v>
      </x:c>
    </x:row>
    <x:row r="215" s="39" customFormat="1" ht="15" customHeight="1">
      <x:c r="A215" s="80" t="n">
        <x:v>45970</x:v>
      </x:c>
      <x:c r="B215" s="76" t="n">
        <x:v>10</x:v>
      </x:c>
    </x:row>
    <x:row r="216" s="39" customFormat="1" ht="15" customHeight="1">
      <x:c r="A216" s="80" t="n">
        <x:v>45971</x:v>
      </x:c>
      <x:c r="B216" s="76" t="n">
        <x:v>13</x:v>
      </x:c>
    </x:row>
    <x:row r="217" s="39" customFormat="1" ht="15" customHeight="1">
      <x:c r="A217" s="80" t="n">
        <x:v>45972</x:v>
      </x:c>
      <x:c r="B217" s="76" t="n">
        <x:v>10</x:v>
      </x:c>
    </x:row>
    <x:row r="218" s="39" customFormat="1" ht="15" customHeight="1">
      <x:c r="A218" s="80" t="n">
        <x:v>45973</x:v>
      </x:c>
      <x:c r="B218" s="76" t="n">
        <x:v>30</x:v>
      </x:c>
    </x:row>
    <x:row r="219" s="39" customFormat="1" ht="15" customHeight="1">
      <x:c r="A219" s="80" t="n">
        <x:v>45974</x:v>
      </x:c>
      <x:c r="B219" s="76" t="n">
        <x:v>5</x:v>
      </x:c>
    </x:row>
    <x:row r="220" s="39" customFormat="1" ht="15" customHeight="1">
      <x:c r="A220" s="80" t="n">
        <x:v>45975</x:v>
      </x:c>
      <x:c r="B220" s="76" t="n">
        <x:v>8</x:v>
      </x:c>
    </x:row>
    <x:row r="221" s="39" customFormat="1" ht="15" customHeight="1">
      <x:c r="A221" s="80" t="n">
        <x:v>45976</x:v>
      </x:c>
      <x:c r="B221" s="76" t="n">
        <x:v>3</x:v>
      </x:c>
    </x:row>
    <x:row r="222" s="39" customFormat="1" ht="15" customHeight="1">
      <x:c r="A222" s="80" t="n">
        <x:v>45977</x:v>
      </x:c>
      <x:c r="B222" s="76" t="n">
        <x:v>7</x:v>
      </x:c>
    </x:row>
    <x:row r="223" s="39" customFormat="1" ht="15" customHeight="1">
      <x:c r="A223" s="80" t="n">
        <x:v>45978</x:v>
      </x:c>
      <x:c r="B223" s="76" t="n">
        <x:v>7</x:v>
      </x:c>
    </x:row>
    <x:row r="224" s="39" customFormat="1" ht="15" customHeight="1">
      <x:c r="A224" s="80" t="n">
        <x:v>45979</x:v>
      </x:c>
      <x:c r="B224" s="76" t="n">
        <x:v>4</x:v>
      </x:c>
    </x:row>
    <x:row r="225" s="39" customFormat="1" ht="15" customHeight="1">
      <x:c r="A225" s="80" t="n">
        <x:v>45980</x:v>
      </x:c>
      <x:c r="B225" s="76" t="n">
        <x:v>5</x:v>
      </x:c>
    </x:row>
    <x:row r="226" s="39" customFormat="1" ht="15" customHeight="1">
      <x:c r="A226" s="80" t="n">
        <x:v>45981</x:v>
      </x:c>
      <x:c r="B226" s="76" t="n">
        <x:v>7</x:v>
      </x:c>
    </x:row>
    <x:row r="227" s="39" customFormat="1" ht="15" customHeight="1">
      <x:c r="A227" s="80" t="n">
        <x:v>45982</x:v>
      </x:c>
      <x:c r="B227" s="76" t="n">
        <x:v>5</x:v>
      </x:c>
    </x:row>
    <x:row r="228" s="39" customFormat="1" ht="15" customHeight="1">
      <x:c r="A228" s="80" t="n">
        <x:v>45983</x:v>
      </x:c>
      <x:c r="B228" s="76" t="n">
        <x:v>2</x:v>
      </x:c>
    </x:row>
    <x:row r="229" s="39" customFormat="1" ht="15" customHeight="1">
      <x:c r="A229" s="80" t="n">
        <x:v>45984</x:v>
      </x:c>
      <x:c r="B229" s="76" t="n">
        <x:v>1</x:v>
      </x:c>
    </x:row>
    <x:row r="230" s="39" customFormat="1" ht="15" customHeight="1">
      <x:c r="A230" s="80" t="n">
        <x:v>45985</x:v>
      </x:c>
      <x:c r="B230" s="76" t="n">
        <x:v>3</x:v>
      </x:c>
    </x:row>
    <x:row r="231" s="39" customFormat="1" ht="15" customHeight="1">
      <x:c r="A231" s="80" t="n">
        <x:v>45986</x:v>
      </x:c>
      <x:c r="B231" s="76" t="n">
        <x:v>7</x:v>
      </x:c>
    </x:row>
    <x:row r="232" s="39" customFormat="1" ht="15" customHeight="1">
      <x:c r="A232" s="80" t="n">
        <x:v>45987</x:v>
      </x:c>
      <x:c r="B232" s="76" t="n">
        <x:v>7</x:v>
      </x:c>
    </x:row>
    <x:row r="233" s="39" customFormat="1" ht="15" customHeight="1">
      <x:c r="A233" s="80" t="n">
        <x:v>45988</x:v>
      </x:c>
      <x:c r="B233" s="76" t="n">
        <x:v>16</x:v>
      </x:c>
    </x:row>
    <x:row r="234" s="39" customFormat="1" ht="15" customHeight="1">
      <x:c r="A234" s="80" t="n">
        <x:v>45989</x:v>
      </x:c>
      <x:c r="B234" s="76" t="n">
        <x:v>3</x:v>
      </x:c>
    </x:row>
    <x:row r="235" s="39" customFormat="1" ht="15" customHeight="1">
      <x:c r="A235" s="80" t="n">
        <x:v>45990</x:v>
      </x:c>
      <x:c r="B235" s="76" t="n">
        <x:v>2</x:v>
      </x:c>
    </x:row>
    <x:row r="236" s="39" customFormat="1" ht="15" customHeight="1">
      <x:c r="A236" s="80" t="n">
        <x:v>45991</x:v>
      </x:c>
      <x:c r="B236" s="76" t="n">
        <x:v>4</x:v>
      </x:c>
    </x:row>
    <x:row r="237" s="39" customFormat="1" ht="15" customHeight="1">
      <x:c r="A237" s="80" t="n">
        <x:v>45993</x:v>
      </x:c>
      <x:c r="B237" s="76" t="n">
        <x:v>6</x:v>
      </x:c>
    </x:row>
    <x:row r="238" s="39" customFormat="1" ht="15" customHeight="1">
      <x:c r="A238" s="80" t="n">
        <x:v>45994</x:v>
      </x:c>
      <x:c r="B238" s="76" t="n">
        <x:v>7</x:v>
      </x:c>
    </x:row>
    <x:row r="239" s="39" customFormat="1" ht="15" customHeight="1">
      <x:c r="A239" s="80" t="n">
        <x:v>45995</x:v>
      </x:c>
      <x:c r="B239" s="76" t="n">
        <x:v>6</x:v>
      </x:c>
    </x:row>
    <x:row r="240" s="39" customFormat="1" ht="15" customHeight="1">
      <x:c r="A240" s="80" t="n">
        <x:v>45996</x:v>
      </x:c>
      <x:c r="B240" s="76" t="n">
        <x:v>17</x:v>
      </x:c>
    </x:row>
    <x:row r="241" s="39" customFormat="1" ht="15" customHeight="1">
      <x:c r="A241" s="80" t="n">
        <x:v>45997</x:v>
      </x:c>
      <x:c r="B241" s="76" t="n">
        <x:v>5</x:v>
      </x:c>
    </x:row>
    <x:row r="242" s="39" customFormat="1" ht="15" customHeight="1">
      <x:c r="A242" s="80" t="n">
        <x:v>45999</x:v>
      </x:c>
      <x:c r="B242" s="76" t="n">
        <x:v>5</x:v>
      </x:c>
    </x:row>
    <x:row r="243" s="39" customFormat="1" ht="15" customHeight="1">
      <x:c r="A243" s="80" t="n">
        <x:v>46000</x:v>
      </x:c>
      <x:c r="B243" s="76" t="n">
        <x:v>4</x:v>
      </x:c>
    </x:row>
    <x:row r="244" s="39" customFormat="1" ht="15" customHeight="1">
      <x:c r="A244" s="80" t="n">
        <x:v>46001</x:v>
      </x:c>
      <x:c r="B244" s="76" t="n">
        <x:v>5</x:v>
      </x:c>
    </x:row>
    <x:row r="245" s="39" customFormat="1" ht="15" customHeight="1">
      <x:c r="A245" s="80" t="n">
        <x:v>46002</x:v>
      </x:c>
      <x:c r="B245" s="76" t="n">
        <x:v>5</x:v>
      </x:c>
    </x:row>
    <x:row r="246" s="39" customFormat="1" ht="15" customHeight="1">
      <x:c r="A246" s="80" t="n">
        <x:v>46003</x:v>
      </x:c>
      <x:c r="B246" s="76" t="n">
        <x:v>12</x:v>
      </x:c>
    </x:row>
    <x:row r="247" s="39" customFormat="1" ht="15" customHeight="1">
      <x:c r="A247" s="80" t="n">
        <x:v>46004</x:v>
      </x:c>
      <x:c r="B247" s="76" t="n">
        <x:v>6</x:v>
      </x:c>
    </x:row>
    <x:row r="248" s="39" customFormat="1" ht="15" customHeight="1">
      <x:c r="A248" s="80" t="n">
        <x:v>46005</x:v>
      </x:c>
      <x:c r="B248" s="76" t="n">
        <x:v>5</x:v>
      </x:c>
    </x:row>
    <x:row r="249" s="39" customFormat="1" ht="15" customHeight="1">
      <x:c r="A249" s="80" t="n">
        <x:v>46006</x:v>
      </x:c>
      <x:c r="B249" s="76" t="n">
        <x:v>6</x:v>
      </x:c>
    </x:row>
    <x:row r="250" s="39" customFormat="1" ht="15" customHeight="1">
      <x:c r="A250" s="80" t="n">
        <x:v>46007</x:v>
      </x:c>
      <x:c r="B250" s="76" t="n">
        <x:v>6</x:v>
      </x:c>
    </x:row>
    <x:row r="251" s="39" customFormat="1" ht="15" customHeight="1">
      <x:c r="A251" s="80" t="n">
        <x:v>46008</x:v>
      </x:c>
      <x:c r="B251" s="76" t="n">
        <x:v>11</x:v>
      </x:c>
    </x:row>
    <x:row r="252" s="39" customFormat="1" ht="15" customHeight="1">
      <x:c r="A252" s="80" t="n">
        <x:v>46009</x:v>
      </x:c>
      <x:c r="B252" s="76" t="n">
        <x:v>11</x:v>
      </x:c>
    </x:row>
    <x:row r="253" s="39" customFormat="1" ht="15" customHeight="1">
      <x:c r="A253" s="80" t="n">
        <x:v>46010</x:v>
      </x:c>
      <x:c r="B253" s="76" t="n">
        <x:v>9</x:v>
      </x:c>
    </x:row>
    <x:row r="254" s="39" customFormat="1" ht="15" customHeight="1">
      <x:c r="A254" s="80" t="n">
        <x:v>46011</x:v>
      </x:c>
      <x:c r="B254" s="76" t="n">
        <x:v>5</x:v>
      </x:c>
    </x:row>
    <x:row r="255" s="39" customFormat="1" ht="15" customHeight="1">
      <x:c r="A255" s="80" t="n">
        <x:v>46012</x:v>
      </x:c>
      <x:c r="B255" s="76" t="n">
        <x:v>3</x:v>
      </x:c>
    </x:row>
    <x:row r="256" s="39" customFormat="1" ht="15" customHeight="1">
      <x:c r="A256" s="80" t="n">
        <x:v>46013</x:v>
      </x:c>
      <x:c r="B256" s="76" t="n">
        <x:v>11</x:v>
      </x:c>
    </x:row>
    <x:row r="257" s="39" customFormat="1" ht="15" customHeight="1">
      <x:c r="A257" s="80" t="n">
        <x:v>46014</x:v>
      </x:c>
      <x:c r="B257" s="76" t="n">
        <x:v>3</x:v>
      </x:c>
    </x:row>
    <x:row r="258" s="39" customFormat="1" ht="15" customHeight="1">
      <x:c r="A258" s="80" t="n">
        <x:v>46015</x:v>
      </x:c>
      <x:c r="B258" s="76" t="n">
        <x:v>3</x:v>
      </x:c>
    </x:row>
    <x:row r="259" s="39" customFormat="1" ht="15" customHeight="1">
      <x:c r="A259" s="80" t="n">
        <x:v>46016</x:v>
      </x:c>
      <x:c r="B259" s="76" t="n">
        <x:v>4</x:v>
      </x:c>
    </x:row>
    <x:row r="260" s="39" customFormat="1" ht="15" customHeight="1">
      <x:c r="A260" s="80" t="n">
        <x:v>46017</x:v>
      </x:c>
      <x:c r="B260" s="76" t="n">
        <x:v>6</x:v>
      </x:c>
    </x:row>
    <x:row r="261" s="39" customFormat="1" ht="15" customHeight="1">
      <x:c r="A261" s="80" t="n">
        <x:v>46018</x:v>
      </x:c>
      <x:c r="B261" s="76" t="n">
        <x:v>1</x:v>
      </x:c>
    </x:row>
    <x:row r="262" s="39" customFormat="1" ht="15" customHeight="1">
      <x:c r="A262" s="80" t="n">
        <x:v>46020</x:v>
      </x:c>
      <x:c r="B262" s="76" t="n">
        <x:v>2</x:v>
      </x:c>
    </x:row>
    <x:row r="263" s="39" customFormat="1" ht="15" customHeight="1">
      <x:c r="A263" s="80" t="n">
        <x:v>46021</x:v>
      </x:c>
      <x:c r="B263" s="76" t="n">
        <x:v>3</x:v>
      </x:c>
    </x:row>
    <x:row r="264" s="39" customFormat="1" ht="15" customHeight="1">
      <x:c r="A264" s="80" t="n">
        <x:v>46022</x:v>
      </x:c>
      <x:c r="B264" s="76" t="n">
        <x:v>3</x:v>
      </x:c>
    </x:row>
    <x:row r="265" s="39" customFormat="1" ht="15" customHeight="1">
      <x:c r="A265" s="80" t="n">
        <x:v>46024</x:v>
      </x:c>
      <x:c r="B265" s="76" t="n">
        <x:v>4</x:v>
      </x:c>
    </x:row>
    <x:row r="266" s="39" customFormat="1" ht="15" customHeight="1">
      <x:c r="A266" s="80" t="n">
        <x:v>46025</x:v>
      </x:c>
      <x:c r="B266" s="76" t="n">
        <x:v>3</x:v>
      </x:c>
    </x:row>
    <x:row r="267" s="39" customFormat="1" ht="15" customHeight="1">
      <x:c r="A267" s="80" t="n">
        <x:v>46026</x:v>
      </x:c>
      <x:c r="B267" s="76" t="n">
        <x:v>2</x:v>
      </x:c>
    </x:row>
    <x:row r="268" s="39" customFormat="1" ht="15" customHeight="1">
      <x:c r="A268" s="80" t="n">
        <x:v>46027</x:v>
      </x:c>
      <x:c r="B268" s="76" t="n">
        <x:v>2</x:v>
      </x:c>
    </x:row>
    <x:row r="269" s="39" customFormat="1" ht="15" customHeight="1">
      <x:c r="A269" s="80" t="n">
        <x:v>46028</x:v>
      </x:c>
      <x:c r="B269" s="76" t="n">
        <x:v>4</x:v>
      </x:c>
    </x:row>
    <x:row r="270" s="39" customFormat="1" ht="15" customHeight="1">
      <x:c r="A270" s="80" t="n">
        <x:v>46029</x:v>
      </x:c>
      <x:c r="B270" s="76" t="n">
        <x:v>5</x:v>
      </x:c>
    </x:row>
    <x:row r="271" s="39" customFormat="1" ht="15" customHeight="1">
      <x:c r="A271" s="80" t="n">
        <x:v>46030</x:v>
      </x:c>
      <x:c r="B271" s="76" t="n">
        <x:v>2</x:v>
      </x:c>
    </x:row>
    <x:row r="272" s="39" customFormat="1" ht="15" customHeight="1">
      <x:c r="A272" s="80" t="n">
        <x:v>46031</x:v>
      </x:c>
      <x:c r="B272" s="76" t="n">
        <x:v>7</x:v>
      </x:c>
    </x:row>
    <x:row r="273" s="39" customFormat="1" ht="15" customHeight="1">
      <x:c r="A273" s="80" t="n">
        <x:v>46032</x:v>
      </x:c>
      <x:c r="B273" s="76" t="n">
        <x:v>2</x:v>
      </x:c>
    </x:row>
    <x:row r="274" s="39" customFormat="1" ht="15" customHeight="1">
      <x:c r="A274" s="80" t="n">
        <x:v>46033</x:v>
      </x:c>
      <x:c r="B274" s="76" t="n">
        <x:v>5</x:v>
      </x:c>
    </x:row>
    <x:row r="275" s="39" customFormat="1" ht="15" customHeight="1">
      <x:c r="A275" s="80" t="n">
        <x:v>46034</x:v>
      </x:c>
      <x:c r="B275" s="76" t="n">
        <x:v>7</x:v>
      </x:c>
    </x:row>
    <x:row r="276" s="39" customFormat="1" ht="15" customHeight="1">
      <x:c r="A276" s="80" t="n">
        <x:v>46035</x:v>
      </x:c>
      <x:c r="B276" s="76" t="n">
        <x:v>7</x:v>
      </x:c>
    </x:row>
    <x:row r="277" s="39" customFormat="1" ht="15" customHeight="1">
      <x:c r="A277" s="80" t="n">
        <x:v>46036</x:v>
      </x:c>
      <x:c r="B277" s="76" t="n">
        <x:v>7</x:v>
      </x:c>
    </x:row>
    <x:row r="278" s="39" customFormat="1" ht="15" customHeight="1">
      <x:c r="A278" s="80" t="n">
        <x:v>46037</x:v>
      </x:c>
      <x:c r="B278" s="76" t="n">
        <x:v>6</x:v>
      </x:c>
    </x:row>
    <x:row r="279" s="39" customFormat="1" ht="15" customHeight="1">
      <x:c r="A279" s="80" t="n">
        <x:v>46038</x:v>
      </x:c>
      <x:c r="B279" s="76" t="n">
        <x:v>4</x:v>
      </x:c>
    </x:row>
    <x:row r="280" s="39" customFormat="1" ht="15" customHeight="1">
      <x:c r="A280" s="80" t="n">
        <x:v>46039</x:v>
      </x:c>
      <x:c r="B280" s="76" t="n">
        <x:v>1</x:v>
      </x:c>
    </x:row>
    <x:row r="281" s="39" customFormat="1" ht="15" customHeight="1">
      <x:c r="A281" s="80" t="n">
        <x:v>46040</x:v>
      </x:c>
      <x:c r="B281" s="76" t="n">
        <x:v>4</x:v>
      </x:c>
    </x:row>
    <x:row r="282" s="39" customFormat="1" ht="15" customHeight="1">
      <x:c r="A282" s="80" t="n">
        <x:v>46041</x:v>
      </x:c>
      <x:c r="B282" s="76" t="n">
        <x:v>5</x:v>
      </x:c>
    </x:row>
    <x:row r="283" s="39" customFormat="1" ht="15" customHeight="1">
      <x:c r="A283" s="80" t="n">
        <x:v>46042</x:v>
      </x:c>
      <x:c r="B283" s="76" t="n">
        <x:v>2</x:v>
      </x:c>
    </x:row>
    <x:row r="284" s="39" customFormat="1" ht="15" customHeight="1">
      <x:c r="A284" s="80" t="n">
        <x:v>46043</x:v>
      </x:c>
      <x:c r="B284" s="76" t="n">
        <x:v>1</x:v>
      </x:c>
    </x:row>
    <x:row r="285" s="39" customFormat="1" ht="15" customHeight="1">
      <x:c r="A285" s="80" t="n">
        <x:v>46044</x:v>
      </x:c>
      <x:c r="B285" s="76" t="n">
        <x:v>11</x:v>
      </x:c>
    </x:row>
    <x:row r="286" s="39" customFormat="1" ht="15" customHeight="1">
      <x:c r="A286" s="80" t="n">
        <x:v>46045</x:v>
      </x:c>
      <x:c r="B286" s="76" t="n">
        <x:v>9</x:v>
      </x:c>
    </x:row>
    <x:row r="287" s="39" customFormat="1" ht="15" customHeight="1">
      <x:c r="A287" s="80" t="n">
        <x:v>46046</x:v>
      </x:c>
      <x:c r="B287" s="76" t="n">
        <x:v>8</x:v>
      </x:c>
    </x:row>
    <x:row r="288" s="39" customFormat="1" ht="15" customHeight="1">
      <x:c r="A288" s="80" t="n">
        <x:v>46047</x:v>
      </x:c>
      <x:c r="B288" s="76" t="n">
        <x:v>10</x:v>
      </x:c>
    </x:row>
    <x:row r="289" s="39" customFormat="1" ht="15" customHeight="1">
      <x:c r="A289" s="80" t="n">
        <x:v>46048</x:v>
      </x:c>
      <x:c r="B289" s="76" t="n">
        <x:v>8</x:v>
      </x:c>
    </x:row>
    <x:row r="290" s="39" customFormat="1" ht="15" customHeight="1">
      <x:c r="A290" s="80" t="n">
        <x:v>46049</x:v>
      </x:c>
      <x:c r="B290" s="76" t="n">
        <x:v>16</x:v>
      </x:c>
    </x:row>
    <x:row r="291" s="39" customFormat="1" ht="15" customHeight="1">
      <x:c r="A291" s="80" t="n">
        <x:v>46050</x:v>
      </x:c>
      <x:c r="B291" s="76" t="n">
        <x:v>17</x:v>
      </x:c>
    </x:row>
    <x:row r="292" s="39" customFormat="1" ht="15" customHeight="1">
      <x:c r="A292" s="80" t="n">
        <x:v>46051</x:v>
      </x:c>
      <x:c r="B292" s="76" t="n">
        <x:v>13</x:v>
      </x:c>
    </x:row>
    <x:row r="293" s="39" customFormat="1" ht="15" customHeight="1">
      <x:c r="A293" s="80" t="n">
        <x:v>46052</x:v>
      </x:c>
      <x:c r="B293" s="76" t="n">
        <x:v>9</x:v>
      </x:c>
    </x:row>
    <x:row r="294" s="39" customFormat="1" ht="15" customHeight="1">
      <x:c r="A294" s="80" t="n">
        <x:v>46053</x:v>
      </x:c>
      <x:c r="B294" s="76" t="n">
        <x:v>10</x:v>
      </x:c>
    </x:row>
    <x:row r="295" s="39" customFormat="1" ht="15" customHeight="1">
      <x:c r="A295" s="80" t="n">
        <x:v>46054</x:v>
      </x:c>
      <x:c r="B295" s="76" t="n">
        <x:v>5</x:v>
      </x:c>
    </x:row>
    <x:row r="296" s="39" customFormat="1" ht="15" customHeight="1">
      <x:c r="A296" s="80" t="n">
        <x:v>46055</x:v>
      </x:c>
      <x:c r="B296" s="76" t="n">
        <x:v>9</x:v>
      </x:c>
    </x:row>
    <x:row r="297" s="39" customFormat="1" ht="15" customHeight="1">
      <x:c r="A297" s="80" t="n">
        <x:v>46056</x:v>
      </x:c>
      <x:c r="B297" s="76" t="n">
        <x:v>8</x:v>
      </x:c>
    </x:row>
    <x:row r="298" s="39" customFormat="1" ht="15" customHeight="1">
      <x:c r="A298" s="80" t="n">
        <x:v>46057</x:v>
      </x:c>
      <x:c r="B298" s="76" t="n">
        <x:v>13</x:v>
      </x:c>
    </x:row>
    <x:row r="299" s="39" customFormat="1" ht="15" customHeight="1">
      <x:c r="A299" s="80" t="n">
        <x:v>46058</x:v>
      </x:c>
      <x:c r="B299" s="76" t="n">
        <x:v>11</x:v>
      </x:c>
    </x:row>
    <x:row r="300" s="39" customFormat="1" ht="15" customHeight="1">
      <x:c r="A300" s="80" t="n">
        <x:v>46059</x:v>
      </x:c>
      <x:c r="B300" s="76" t="n">
        <x:v>3</x:v>
      </x:c>
    </x:row>
    <x:row r="301" s="39" customFormat="1" ht="15" customHeight="1">
      <x:c r="A301" s="80" t="n">
        <x:v>46060</x:v>
      </x:c>
      <x:c r="B301" s="76" t="n">
        <x:v>8</x:v>
      </x:c>
    </x:row>
    <x:row r="302" s="39" customFormat="1" ht="15" customHeight="1">
      <x:c r="A302" s="80" t="n">
        <x:v>46061</x:v>
      </x:c>
      <x:c r="B302" s="76" t="n">
        <x:v>4</x:v>
      </x:c>
    </x:row>
    <x:row r="303" s="39" customFormat="1" ht="15" customHeight="1">
      <x:c r="A303" s="80" t="n">
        <x:v>46062</x:v>
      </x:c>
      <x:c r="B303" s="76" t="n">
        <x:v>14</x:v>
      </x:c>
    </x:row>
    <x:row r="304" s="39" customFormat="1" ht="15" customHeight="1">
      <x:c r="A304" s="80" t="n">
        <x:v>46063</x:v>
      </x:c>
      <x:c r="B304" s="76" t="n">
        <x:v>11</x:v>
      </x:c>
    </x:row>
    <x:row r="305" s="39" customFormat="1" ht="15" customHeight="1">
      <x:c r="A305" s="80" t="n">
        <x:v>46064</x:v>
      </x:c>
      <x:c r="B305" s="76" t="n">
        <x:v>9</x:v>
      </x:c>
    </x:row>
    <x:row r="306" s="39" customFormat="1" ht="15" customHeight="1">
      <x:c r="A306" s="80" t="n">
        <x:v>46065</x:v>
      </x:c>
      <x:c r="B306" s="76" t="n">
        <x:v>16</x:v>
      </x:c>
    </x:row>
    <x:row r="307" s="39" customFormat="1" ht="15" customHeight="1">
      <x:c r="A307" s="80" t="n">
        <x:v>46066</x:v>
      </x:c>
      <x:c r="B307" s="76" t="n">
        <x:v>8</x:v>
      </x:c>
    </x:row>
    <x:row r="308" s="39" customFormat="1" ht="15" customHeight="1">
      <x:c r="A308" s="80" t="n">
        <x:v>46067</x:v>
      </x:c>
      <x:c r="B308" s="76" t="n">
        <x:v>2</x:v>
      </x:c>
    </x:row>
    <x:row r="309" s="39" customFormat="1" ht="15" customHeight="1">
      <x:c r="A309" s="80" t="n">
        <x:v>46068</x:v>
      </x:c>
      <x:c r="B309" s="76" t="n">
        <x:v>3</x:v>
      </x:c>
    </x:row>
    <x:row r="310" s="39" customFormat="1" ht="15" customHeight="1">
      <x:c r="A310" s="80" t="n">
        <x:v>46069</x:v>
      </x:c>
      <x:c r="B310" s="76" t="n">
        <x:v>4</x:v>
      </x:c>
    </x:row>
    <x:row r="311" s="39" customFormat="1" ht="15" customHeight="1">
      <x:c r="A311" s="80" t="n">
        <x:v>46070</x:v>
      </x:c>
      <x:c r="B311" s="76" t="n">
        <x:v>2</x:v>
      </x:c>
    </x:row>
    <x:row r="312" s="39" customFormat="1" ht="15" customHeight="1">
      <x:c r="A312" s="80" t="n">
        <x:v>46071</x:v>
      </x:c>
      <x:c r="B312" s="76" t="n">
        <x:v>5</x:v>
      </x:c>
    </x:row>
    <x:row r="313" s="39" customFormat="1" ht="15" customHeight="1">
      <x:c r="A313" s="80" t="n">
        <x:v>46072</x:v>
      </x:c>
      <x:c r="B313" s="76" t="n">
        <x:v>8</x:v>
      </x:c>
    </x:row>
    <x:row r="314" s="39" customFormat="1" ht="15" customHeight="1">
      <x:c r="A314" s="80" t="n">
        <x:v>46073</x:v>
      </x:c>
      <x:c r="B314" s="76" t="n">
        <x:v>6</x:v>
      </x:c>
    </x:row>
    <x:row r="315" s="39" customFormat="1" ht="15" customHeight="1">
      <x:c r="A315" s="80" t="n">
        <x:v>46074</x:v>
      </x:c>
      <x:c r="B315" s="76" t="n">
        <x:v>2</x:v>
      </x:c>
    </x:row>
    <x:row r="316" s="39" customFormat="1" ht="15" customHeight="1">
      <x:c r="A316" s="80" t="n">
        <x:v>46076</x:v>
      </x:c>
      <x:c r="B316" s="76" t="n">
        <x:v>4</x:v>
      </x:c>
    </x:row>
    <x:row r="317" s="39" customFormat="1" ht="15" customHeight="1">
      <x:c r="A317" s="80" t="n">
        <x:v>46077</x:v>
      </x:c>
      <x:c r="B317" s="76" t="n">
        <x:v>9</x:v>
      </x:c>
    </x:row>
    <x:row r="318" s="39" customFormat="1" ht="15" customHeight="1">
      <x:c r="A318" s="80" t="n">
        <x:v>46078</x:v>
      </x:c>
      <x:c r="B318" s="76" t="n">
        <x:v>13</x:v>
      </x:c>
    </x:row>
    <x:row r="319" s="39" customFormat="1" ht="15" customHeight="1">
      <x:c r="A319" s="80" t="n">
        <x:v>46079</x:v>
      </x:c>
      <x:c r="B319" s="76" t="n">
        <x:v>22</x:v>
      </x:c>
    </x:row>
    <x:row r="320" s="39" customFormat="1" ht="15" customHeight="1">
      <x:c r="A320" s="80" t="n">
        <x:v>46080</x:v>
      </x:c>
      <x:c r="B320" s="76" t="n">
        <x:v>7</x:v>
      </x:c>
    </x:row>
    <x:row r="321" s="39" customFormat="1" ht="15" customHeight="1">
      <x:c r="A321" s="80" t="n">
        <x:v>46081</x:v>
      </x:c>
      <x:c r="B321" s="76" t="n">
        <x:v>3</x:v>
      </x:c>
    </x:row>
    <x:row r="322" s="39" customFormat="1" ht="15" customHeight="1">
      <x:c r="A322" s="80" t="n">
        <x:v>46082</x:v>
      </x:c>
      <x:c r="B322" s="76" t="n">
        <x:v>3</x:v>
      </x:c>
    </x:row>
    <x:row r="323" s="39" customFormat="1" ht="15" customHeight="1">
      <x:c r="A323" s="80" t="n">
        <x:v>46083</x:v>
      </x:c>
      <x:c r="B323" s="76" t="n">
        <x:v>6</x:v>
      </x:c>
    </x:row>
    <x:row r="324" s="39" customFormat="1" ht="15" customHeight="1">
      <x:c r="A324" s="80" t="n">
        <x:v>46084</x:v>
      </x:c>
      <x:c r="B324" s="76" t="n">
        <x:v>3</x:v>
      </x:c>
    </x:row>
    <x:row r="325" s="39" customFormat="1" ht="15" customHeight="1">
      <x:c r="A325" s="80" t="n">
        <x:v>46085</x:v>
      </x:c>
      <x:c r="B325" s="76" t="n">
        <x:v>4</x:v>
      </x:c>
    </x:row>
    <x:row r="326" s="39" customFormat="1" ht="15" customHeight="1">
      <x:c r="A326" s="80" t="n">
        <x:v>46086</x:v>
      </x:c>
      <x:c r="B326" s="76" t="n">
        <x:v>4</x:v>
      </x:c>
    </x:row>
    <x:row r="327" s="39" customFormat="1" ht="15" customHeight="1">
      <x:c r="A327" s="80" t="n">
        <x:v>46087</x:v>
      </x:c>
      <x:c r="B327" s="76" t="n">
        <x:v>4</x:v>
      </x:c>
    </x:row>
    <x:row r="328" s="39" customFormat="1" ht="15" customHeight="1">
      <x:c r="A328" s="80" t="n">
        <x:v>46088</x:v>
      </x:c>
      <x:c r="B328" s="76" t="n">
        <x:v>6</x:v>
      </x:c>
    </x:row>
    <x:row r="329" s="39" customFormat="1" ht="15" customHeight="1">
      <x:c r="A329" s="80" t="n">
        <x:v>46089</x:v>
      </x:c>
      <x:c r="B329" s="76" t="n">
        <x:v>6</x:v>
      </x:c>
    </x:row>
    <x:row r="330" s="39" customFormat="1" ht="15" customHeight="1">
      <x:c r="A330" s="80" t="n">
        <x:v>46090</x:v>
      </x:c>
      <x:c r="B330" s="76" t="n">
        <x:v>5</x:v>
      </x:c>
    </x:row>
    <x:row r="331" s="39" customFormat="1" ht="15" customHeight="1">
      <x:c r="A331" s="80" t="n">
        <x:v>46091</x:v>
      </x:c>
      <x:c r="B331" s="76" t="n">
        <x:v>5</x:v>
      </x:c>
    </x:row>
    <x:row r="332" s="39" customFormat="1" ht="15" customHeight="1">
      <x:c r="A332" s="80" t="n">
        <x:v>46092</x:v>
      </x:c>
      <x:c r="B332" s="76" t="n">
        <x:v>7</x:v>
      </x:c>
    </x:row>
    <x:row r="333" s="39" customFormat="1" ht="15" customHeight="1">
      <x:c r="A333" s="80" t="n">
        <x:v>46093</x:v>
      </x:c>
      <x:c r="B333" s="76" t="n">
        <x:v>4</x:v>
      </x:c>
    </x:row>
    <x:row r="334" s="39" customFormat="1" ht="15" customHeight="1">
      <x:c r="A334" s="80" t="n">
        <x:v>46094</x:v>
      </x:c>
      <x:c r="B334" s="76" t="n">
        <x:v>5</x:v>
      </x:c>
    </x:row>
    <x:row r="335" s="39" customFormat="1" ht="15" customHeight="1">
      <x:c r="A335" s="80" t="n">
        <x:v>46095</x:v>
      </x:c>
      <x:c r="B335" s="76" t="n">
        <x:v>7</x:v>
      </x:c>
    </x:row>
    <x:row r="336" s="39" customFormat="1" ht="15" customHeight="1">
      <x:c r="A336" s="80" t="n">
        <x:v>46096</x:v>
      </x:c>
      <x:c r="B336" s="76" t="n">
        <x:v>1</x:v>
      </x:c>
    </x:row>
    <x:row r="337" s="39" customFormat="1" ht="15" customHeight="1">
      <x:c r="A337" s="80" t="n">
        <x:v>46097</x:v>
      </x:c>
      <x:c r="B337" s="76" t="n">
        <x:v>3</x:v>
      </x:c>
    </x:row>
    <x:row r="338" s="39" customFormat="1" ht="15" customHeight="1">
      <x:c r="A338" s="80" t="n">
        <x:v>46098</x:v>
      </x:c>
      <x:c r="B338" s="76" t="n">
        <x:v>9</x:v>
      </x:c>
    </x:row>
    <x:row r="339" s="39" customFormat="1" ht="15" customHeight="1">
      <x:c r="A339" s="80" t="n">
        <x:v>46099</x:v>
      </x:c>
      <x:c r="B339" s="76" t="n">
        <x:v>22</x:v>
      </x:c>
    </x:row>
    <x:row r="340" s="39" customFormat="1" ht="15" customHeight="1">
      <x:c r="A340" s="80" t="n">
        <x:v>46100</x:v>
      </x:c>
      <x:c r="B340" s="76" t="n">
        <x:v>20</x:v>
      </x:c>
    </x:row>
    <x:row r="341" s="39" customFormat="1" ht="15" customHeight="1">
      <x:c r="A341" s="80" t="n">
        <x:v>46101</x:v>
      </x:c>
      <x:c r="B341" s="76" t="n">
        <x:v>26</x:v>
      </x:c>
    </x:row>
    <x:row r="342" s="39" customFormat="1" ht="15" customHeight="1">
      <x:c r="A342" s="80" t="n">
        <x:v>46102</x:v>
      </x:c>
      <x:c r="B342" s="76" t="n">
        <x:v>10</x:v>
      </x:c>
    </x:row>
    <x:row r="343" s="39" customFormat="1" ht="15" customHeight="1">
      <x:c r="A343" s="80" t="n">
        <x:v>46103</x:v>
      </x:c>
      <x:c r="B343" s="76" t="n">
        <x:v>13</x:v>
      </x:c>
    </x:row>
    <x:row r="344" s="39" customFormat="1" ht="15" customHeight="1">
      <x:c r="A344" s="80" t="n">
        <x:v>46104</x:v>
      </x:c>
      <x:c r="B344" s="76" t="n">
        <x:v>12</x:v>
      </x:c>
    </x:row>
    <x:row r="345" s="39" customFormat="1" ht="15" customHeight="1">
      <x:c r="A345" s="80" t="n">
        <x:v>46105</x:v>
      </x:c>
      <x:c r="B345" s="76" t="n">
        <x:v>16</x:v>
      </x:c>
    </x:row>
    <x:row r="346" s="39" customFormat="1" ht="15" customHeight="1">
      <x:c r="A346" s="80" t="n">
        <x:v>46106</x:v>
      </x:c>
      <x:c r="B346" s="76" t="n">
        <x:v>4</x:v>
      </x:c>
    </x:row>
    <x:row r="347" s="39" customFormat="1" ht="15" customHeight="1">
      <x:c r="A347" s="80" t="n">
        <x:v>46107</x:v>
      </x:c>
      <x:c r="B347" s="76" t="n">
        <x:v>16</x:v>
      </x:c>
    </x:row>
    <x:row r="348" s="39" customFormat="1" ht="15" customHeight="1">
      <x:c r="A348" s="80" t="n">
        <x:v>46108</x:v>
      </x:c>
      <x:c r="B348" s="76" t="n">
        <x:v>10</x:v>
      </x:c>
    </x:row>
    <x:row r="349" s="39" customFormat="1" ht="15" customHeight="1">
      <x:c r="A349" s="80" t="n">
        <x:v>46109</x:v>
      </x:c>
      <x:c r="B349" s="76" t="n">
        <x:v>11</x:v>
      </x:c>
    </x:row>
    <x:row r="350" s="39" customFormat="1" ht="15" customHeight="1">
      <x:c r="A350" s="80" t="n">
        <x:v>46110</x:v>
      </x:c>
      <x:c r="B350" s="76" t="n">
        <x:v>11</x:v>
      </x:c>
    </x:row>
    <x:row r="351" s="39" customFormat="1" ht="15" customHeight="1">
      <x:c r="A351" s="80" t="n">
        <x:v>46111</x:v>
      </x:c>
      <x:c r="B351" s="76" t="n">
        <x:v>8</x:v>
      </x:c>
    </x:row>
    <x:row r="352" s="39" customFormat="1" ht="15" customHeight="1">
      <x:c r="A352" s="80" t="n">
        <x:v>46112</x:v>
      </x:c>
      <x:c r="B352" s="76" t="n">
        <x:v>9</x:v>
      </x:c>
    </x:row>
    <x:row r="353" s="39" customFormat="1" ht="15" customHeight="1">
      <x:c r="A353" s="80" t="n">
        <x:v>46113</x:v>
      </x:c>
      <x:c r="B353" s="76" t="n">
        <x:v>10</x:v>
      </x:c>
    </x:row>
    <x:row r="354" s="39" customFormat="1" ht="15" customHeight="1">
      <x:c r="A354" s="80" t="n">
        <x:v>46114</x:v>
      </x:c>
      <x:c r="B354" s="76" t="n">
        <x:v>16</x:v>
      </x:c>
    </x:row>
    <x:row r="355" s="39" customFormat="1" ht="15" customHeight="1">
      <x:c r="A355" s="80" t="n">
        <x:v>46115</x:v>
      </x:c>
      <x:c r="B355" s="76" t="n">
        <x:v>15</x:v>
      </x:c>
    </x:row>
    <x:row r="356" s="39" customFormat="1" ht="15" customHeight="1">
      <x:c r="A356" s="80" t="n">
        <x:v>46116</x:v>
      </x:c>
      <x:c r="B356" s="76" t="n">
        <x:v>4</x:v>
      </x:c>
    </x:row>
    <x:row r="357" s="39" customFormat="1" ht="15" customHeight="1">
      <x:c r="A357" s="80" t="n">
        <x:v>46117</x:v>
      </x:c>
      <x:c r="B357" s="76" t="n">
        <x:v>6</x:v>
      </x:c>
    </x:row>
    <x:row r="358" s="39" customFormat="1" ht="15" customHeight="1">
      <x:c r="A358" s="80" t="n">
        <x:v>46118</x:v>
      </x:c>
      <x:c r="B358" s="76" t="n">
        <x:v>2</x:v>
      </x:c>
    </x:row>
    <x:row r="359" s="39" customFormat="1" ht="15" customHeight="1">
      <x:c r="A359" s="80" t="n">
        <x:v>46119</x:v>
      </x:c>
      <x:c r="B359" s="76" t="n">
        <x:v>4</x:v>
      </x:c>
    </x:row>
    <x:row r="360" s="39" customFormat="1" ht="15" customHeight="1">
      <x:c r="A360" s="80" t="n">
        <x:v>46120</x:v>
      </x:c>
      <x:c r="B360" s="76" t="n">
        <x:v>10</x:v>
      </x:c>
    </x:row>
    <x:row r="361" s="39" customFormat="1" ht="15" customHeight="1">
      <x:c r="A361" s="80" t="n">
        <x:v>46121</x:v>
      </x:c>
      <x:c r="B361" s="76" t="n">
        <x:v>17</x:v>
      </x:c>
    </x:row>
    <x:row r="362" s="39" customFormat="1" ht="15" customHeight="1">
      <x:c r="A362" s="80" t="n">
        <x:v>46122</x:v>
      </x:c>
      <x:c r="B362" s="76" t="n">
        <x:v>2</x:v>
      </x:c>
    </x:row>
  </x:sheetData>
  <x:mergeCells>
    <x:mergeCell ref="A2:D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ColWidth="8.54296875" defaultRowHeight="15"/>
  <x:cols>
    <x:col min="1" max="1" width="42" style="67" customWidth="1"/>
    <x:col min="2" max="2" width="39" style="67" customWidth="1"/>
    <x:col min="3" max="3" width="16" style="67" customWidth="1"/>
    <x:col min="4" max="4" width="43" style="67" customWidth="1"/>
    <x:col min="5" max="5" width="45" style="67" customWidth="1"/>
  </x:cols>
  <x:sheetData>
    <x:row r="1" s="39" customFormat="1" ht="20.450000762939453" customHeight="1">
      <x:c r="A1" s="68" t="inlineStr">
        <x:is>
          <x:t xml:space="preserve">Conecta 5 Presença</x:t>
        </x:is>
      </x:c>
    </x:row>
    <x:row r="2" s="39" customFormat="1" ht="15" customHeight="1">
      <x:c r="A2" s="74" t="inlineStr">
        <x:is>
          <x:t xml:space="preserve">Tabela parseada do markdown de presença.</x:t>
        </x:is>
      </x:c>
    </x:row>
    <x:row r="4" s="39" customFormat="1" ht="15" customHeight="1">
      <x:c r="A4" s="69" t="inlineStr">
        <x:is>
          <x:t xml:space="preserve">n</x:t>
        </x:is>
      </x:c>
      <x:c r="B4" s="69" t="inlineStr">
        <x:is>
          <x:t xml:space="preserve">nome</x:t>
        </x:is>
      </x:c>
      <x:c r="C4" s="69" t="inlineStr">
        <x:is>
          <x:t xml:space="preserve">telefone</x:t>
        </x:is>
      </x:c>
      <x:c r="D4" s="69" t="inlineStr">
        <x:is>
          <x:t xml:space="preserve">email</x:t>
        </x:is>
      </x:c>
      <x:c r="E4" s="69" t="inlineStr">
        <x:is>
          <x:t xml:space="preserve">empresa</x:t>
        </x:is>
      </x:c>
    </x:row>
    <x:row r="5" s="39" customFormat="1" ht="15" customHeight="1">
      <x:c r="A5" s="76" t="n">
        <x:v>1</x:v>
      </x:c>
      <x:c r="B5" s="70" t="inlineStr">
        <x:is>
          <x:t xml:space="preserve">LETICIA LEMES</x:t>
        </x:is>
      </x:c>
      <x:c r="C5" s="70" t="inlineStr">
        <x:is>
          <x:t xml:space="preserve">64999250488</x:t>
        </x:is>
      </x:c>
      <x:c r="D5" s="70" t="inlineStr">
        <x:is>
          <x:t xml:space="preserve">lemeradesign@gmail.com</x:t>
        </x:is>
      </x:c>
      <x:c r="E5" s="70" t="inlineStr">
        <x:is>
          <x:t xml:space="preserve">LÊMERA DESIGN</x:t>
        </x:is>
      </x:c>
    </x:row>
    <x:row r="6" s="39" customFormat="1" ht="15" customHeight="1">
      <x:c r="A6" s="76" t="n">
        <x:v>2</x:v>
      </x:c>
      <x:c r="B6" s="70" t="inlineStr">
        <x:is>
          <x:t xml:space="preserve">ROSÂNIA CÂNDIDA DE OLIVEIRA GUERREIRO</x:t>
        </x:is>
      </x:c>
      <x:c r="C6" s="70" t="inlineStr">
        <x:is>
          <x:t xml:space="preserve">6498453-7473</x:t>
        </x:is>
      </x:c>
      <x:c r="D6" s="70" t="inlineStr">
        <x:is>
          <x:t xml:space="preserve">rosaniacandidafinancas@gmail.com</x:t>
        </x:is>
      </x:c>
      <x:c r="E6" s="70" t="inlineStr">
        <x:is>
          <x:t xml:space="preserve">RC CONSULTORIA FINANCEIRA EMPRESARIAL</x:t>
        </x:is>
      </x:c>
    </x:row>
    <x:row r="7" s="39" customFormat="1" ht="15" customHeight="1">
      <x:c r="A7" s="76" t="n">
        <x:v>3</x:v>
      </x:c>
      <x:c r="B7" s="70" t="inlineStr">
        <x:is>
          <x:t xml:space="preserve">KAROLINE FERREIRA DANTAS</x:t>
        </x:is>
      </x:c>
      <x:c r="C7" s="70" t="inlineStr">
        <x:is>
          <x:t xml:space="preserve">64999043196</x:t>
        </x:is>
      </x:c>
      <x:c r="D7" s="70" t="inlineStr">
        <x:is>
          <x:t xml:space="preserve">karoline.f.dantas@gmail.com</x:t>
        </x:is>
      </x:c>
      <x:c r="E7" s="70" t="inlineStr">
        <x:is>
          <x:t xml:space="preserve">HUMANOUS</x:t>
        </x:is>
      </x:c>
    </x:row>
    <x:row r="8" s="39" customFormat="1" ht="15" customHeight="1">
      <x:c r="A8" s="76" t="n">
        <x:v>4</x:v>
      </x:c>
      <x:c r="B8" s="70" t="inlineStr">
        <x:is>
          <x:t xml:space="preserve">JULLYANA BORGES</x:t>
        </x:is>
      </x:c>
      <x:c r="C8" s="70" t="inlineStr">
        <x:is>
          <x:t xml:space="preserve">64992308466</x:t>
        </x:is>
      </x:c>
      <x:c r="D8" s="70" t="inlineStr">
        <x:is>
          <x:t xml:space="preserve">jullyanaborgesferreira@hotmail.com</x:t>
        </x:is>
      </x:c>
      <x:c r="E8" s="70" t="inlineStr">
        <x:is>
          <x:t xml:space="preserve">JUBELLEJOIAS</x:t>
        </x:is>
      </x:c>
    </x:row>
    <x:row r="9" s="39" customFormat="1" ht="15" customHeight="1">
      <x:c r="A9" s="76" t="n">
        <x:v>5</x:v>
      </x:c>
      <x:c r="B9" s="70" t="inlineStr">
        <x:is>
          <x:t xml:space="preserve">ADELAR DA SILVA ALOVISI</x:t>
        </x:is>
      </x:c>
      <x:c r="C9" s="70" t="inlineStr">
        <x:is>
          <x:t xml:space="preserve">62999192323</x:t>
        </x:is>
      </x:c>
      <x:c r="D9" s="70" t="inlineStr">
        <x:is>
          <x:t xml:space="preserve">aalovisi@gmail.com</x:t>
        </x:is>
      </x:c>
      <x:c r="E9" s="70" t="inlineStr">
        <x:is>
          <x:t xml:space="preserve">ALOVISI TAPETES PERSONALIZADOS</x:t>
        </x:is>
      </x:c>
    </x:row>
    <x:row r="10" s="39" customFormat="1" ht="15" customHeight="1">
      <x:c r="A10" s="76" t="n">
        <x:v>6</x:v>
      </x:c>
      <x:c r="B10" s="70" t="inlineStr">
        <x:is>
          <x:t xml:space="preserve">FRANCYELLE MACHADO</x:t>
        </x:is>
      </x:c>
      <x:c r="C10" s="70" t="inlineStr">
        <x:is>
          <x:t xml:space="preserve">64992147240</x:t>
        </x:is>
      </x:c>
      <x:c r="D10" s="70" t="inlineStr">
        <x:is>
          <x:t xml:space="preserve">franmachadoconsultoria@gmai.com</x:t>
        </x:is>
      </x:c>
      <x:c r="E10" s="70" t="inlineStr">
        <x:is>
          <x:t xml:space="preserve">KSL CONSULTORIA E GESTAO</x:t>
        </x:is>
      </x:c>
    </x:row>
    <x:row r="11" s="39" customFormat="1" ht="15" customHeight="1">
      <x:c r="A11" s="76" t="n">
        <x:v>7</x:v>
      </x:c>
      <x:c r="B11" s="70" t="inlineStr">
        <x:is>
          <x:t xml:space="preserve">DIVINO NETO</x:t>
        </x:is>
      </x:c>
      <x:c r="C11" s="70" t="inlineStr">
        <x:is>
          <x:t xml:space="preserve">64996038300</x:t>
        </x:is>
      </x:c>
      <x:c r="D11" s="70" t="inlineStr">
        <x:is>
          <x:t xml:space="preserve">diseldistribuidora@hotmail.com</x:t>
        </x:is>
      </x:c>
      <x:c r="E11" s="70" t="inlineStr">
        <x:is>
          <x:t xml:space="preserve">DISEL DISTRIBUIDORA LTDA</x:t>
        </x:is>
      </x:c>
    </x:row>
    <x:row r="12" s="39" customFormat="1" ht="15" customHeight="1">
      <x:c r="A12" s="76" t="n">
        <x:v>8</x:v>
      </x:c>
      <x:c r="B12" s="70" t="inlineStr">
        <x:is>
          <x:t xml:space="preserve">ANGELICA SANTANA DOS SANTOS</x:t>
        </x:is>
      </x:c>
      <x:c r="C12" s="70" t="inlineStr">
        <x:is>
          <x:t xml:space="preserve">64984075933</x:t>
        </x:is>
      </x:c>
      <x:c r="D12" s="70" t="inlineStr">
        <x:is>
          <x:t xml:space="preserve">angelica@adgestaodepessoas.com.br</x:t>
        </x:is>
      </x:c>
      <x:c r="E12" s="70" t="inlineStr">
        <x:is>
          <x:t xml:space="preserve">AD GESTÃO DE PESSOAS LTDA</x:t>
        </x:is>
      </x:c>
    </x:row>
    <x:row r="13" s="39" customFormat="1" ht="15" customHeight="1">
      <x:c r="A13" s="76" t="n">
        <x:v>9</x:v>
      </x:c>
      <x:c r="B13" s="70" t="inlineStr">
        <x:is>
          <x:t xml:space="preserve">ESTEFÂNIA LIMA FERNANDES</x:t>
        </x:is>
      </x:c>
      <x:c r="C13" s="70" t="inlineStr">
        <x:is>
          <x:t xml:space="preserve">64984286586</x:t>
        </x:is>
      </x:c>
      <x:c r="D13" s="70" t="inlineStr">
        <x:is>
          <x:t xml:space="preserve">estefanialimarv10@gmail.com</x:t>
        </x:is>
      </x:c>
      <x:c r="E13" s="70" t="inlineStr">
        <x:is>
          <x:t xml:space="preserve">ESTEFÂNIA LIMA</x:t>
        </x:is>
      </x:c>
    </x:row>
    <x:row r="14" s="39" customFormat="1" ht="15" customHeight="1">
      <x:c r="A14" s="76" t="n">
        <x:v>10</x:v>
      </x:c>
      <x:c r="B14" s="70" t="inlineStr">
        <x:is>
          <x:t xml:space="preserve">PAULO ROBERTO ALVES MARTINS</x:t>
        </x:is>
      </x:c>
      <x:c r="C14" s="70" t="inlineStr">
        <x:is>
          <x:t xml:space="preserve">64992087541</x:t>
        </x:is>
      </x:c>
      <x:c r="D14" s="70" t="inlineStr">
        <x:is>
          <x:t xml:space="preserve">pauloroberto@martinsbusinessbroker.com</x:t>
        </x:is>
      </x:c>
      <x:c r="E14" s="70" t="inlineStr">
        <x:is>
          <x:t xml:space="preserve">MARTINS BUSINESS</x:t>
        </x:is>
      </x:c>
    </x:row>
    <x:row r="15" s="39" customFormat="1" ht="15" customHeight="1">
      <x:c r="A15" s="76" t="n">
        <x:v>11</x:v>
      </x:c>
      <x:c r="B15" s="70" t="inlineStr">
        <x:is>
          <x:t xml:space="preserve">LAIS MARTINS</x:t>
        </x:is>
      </x:c>
      <x:c r="C15" s="70" t="inlineStr">
        <x:is>
          <x:t xml:space="preserve">67996609897</x:t>
        </x:is>
      </x:c>
      <x:c r="D15" s="70" t="inlineStr">
        <x:is>
          <x:t xml:space="preserve">laisk_93@hotmail.com</x:t>
        </x:is>
      </x:c>
      <x:c r="E15" s="70" t="inlineStr">
        <x:is>
          <x:t xml:space="preserve">DRA LAÍS MARTINS DENTISTA INTEGRATIVA</x:t>
        </x:is>
      </x:c>
    </x:row>
    <x:row r="16" s="39" customFormat="1" ht="15" customHeight="1">
      <x:c r="A16" s="76" t="n">
        <x:v>12</x:v>
      </x:c>
      <x:c r="B16" s="70" t="inlineStr">
        <x:is>
          <x:t xml:space="preserve">LARA DUTRA</x:t>
        </x:is>
      </x:c>
      <x:c r="C16" s="70" t="inlineStr">
        <x:is>
          <x:t xml:space="preserve">54993383273</x:t>
        </x:is>
      </x:c>
      <x:c r="D16" s="70" t="inlineStr">
        <x:is>
          <x:t xml:space="preserve">laradutramkt@gmail.com</x:t>
        </x:is>
      </x:c>
      <x:c r="E16" s="70" t="inlineStr">
        <x:is>
          <x:t xml:space="preserve">LUMINA ASSESSORIA DE MARKETING MÉDICO</x:t>
        </x:is>
      </x:c>
    </x:row>
    <x:row r="17" s="39" customFormat="1" ht="15" customHeight="1">
      <x:c r="A17" s="76" t="n">
        <x:v>13</x:v>
      </x:c>
      <x:c r="B17" s="70" t="inlineStr">
        <x:is>
          <x:t xml:space="preserve">HELOÍSA SOUSA FERRAZ</x:t>
        </x:is>
      </x:c>
      <x:c r="C17" s="70" t="inlineStr">
        <x:is>
          <x:t xml:space="preserve">64992650165</x:t>
        </x:is>
      </x:c>
      <x:c r="D17" s="70" t="inlineStr">
        <x:is>
          <x:t xml:space="preserve">heloferrazpratas@gmail.com</x:t>
        </x:is>
      </x:c>
      <x:c r="E17" s="70" t="inlineStr">
        <x:is>
          <x:t xml:space="preserve">HELÔ FERRAZ JOIAS EM PRATA</x:t>
        </x:is>
      </x:c>
    </x:row>
    <x:row r="18" s="39" customFormat="1" ht="21.649999618530273" customHeight="1">
      <x:c r="A18" s="76" t="n">
        <x:v>14</x:v>
      </x:c>
      <x:c r="B18" s="70" t="inlineStr">
        <x:is>
          <x:t xml:space="preserve">PEDRO GARCIA PEREIRA</x:t>
        </x:is>
      </x:c>
      <x:c r="C18" s="70" t="inlineStr">
        <x:is>
          <x:t xml:space="preserve">64992345669</x:t>
        </x:is>
      </x:c>
      <x:c r="D18" s="70" t="inlineStr">
        <x:is>
          <x:t xml:space="preserve">pedrogarcia.bio@hotmail.com</x:t>
        </x:is>
      </x:c>
      <x:c r="E18" s="70" t="inlineStr">
        <x:is>
          <x:t xml:space="preserve">PEREIRA E GARCIA MANUTENÇÃO EM EQUIPAMENTOS HIDRÁULICOS LTDA</x:t>
        </x:is>
      </x:c>
    </x:row>
    <x:row r="19" s="39" customFormat="1" ht="15" customHeight="1">
      <x:c r="A19" s="76" t="n">
        <x:v>15</x:v>
      </x:c>
      <x:c r="B19" s="70" t="inlineStr">
        <x:is>
          <x:t xml:space="preserve">RAPHAELLA MARIE ARAÚJO PAIM COSTA</x:t>
        </x:is>
      </x:c>
      <x:c r="C19" s="70" t="inlineStr">
        <x:is>
          <x:t xml:space="preserve">64992894934</x:t>
        </x:is>
      </x:c>
      <x:c r="D19" s="70" t="inlineStr">
        <x:is>
          <x:t xml:space="preserve">rogeriopaim@gmail.com</x:t>
        </x:is>
      </x:c>
      <x:c r="E19" s="70" t="inlineStr">
        <x:is>
          <x:t xml:space="preserve">BATERAUTO BATERIAS</x:t>
        </x:is>
      </x:c>
    </x:row>
    <x:row r="20" s="39" customFormat="1" ht="15" customHeight="1">
      <x:c r="A20" s="76" t="n">
        <x:v>16</x:v>
      </x:c>
      <x:c r="B20" s="70" t="inlineStr">
        <x:is>
          <x:t xml:space="preserve">FABIO ABREU DE SOUSA</x:t>
        </x:is>
      </x:c>
      <x:c r="C20" s="70" t="inlineStr">
        <x:is>
          <x:t xml:space="preserve">64 99261 5474</x:t>
        </x:is>
      </x:c>
      <x:c r="D20" s="70" t="inlineStr">
        <x:is>
          <x:t xml:space="preserve">eliibaneoatreis@gmail.com</x:t>
        </x:is>
      </x:c>
      <x:c r="E20" s="70" t="inlineStr">
        <x:is>
          <x:t xml:space="preserve">LIMPÉRIO TERCEIRIZAÇÃO DE LIMPEZA</x:t>
        </x:is>
      </x:c>
    </x:row>
    <x:row r="21" s="39" customFormat="1" ht="15" customHeight="1">
      <x:c r="A21" s="76" t="n">
        <x:v>17</x:v>
      </x:c>
      <x:c r="B21" s="70" t="inlineStr">
        <x:is>
          <x:t xml:space="preserve">SARA LÚCIA ARAÚJO MOREIRA BASTOS</x:t>
        </x:is>
      </x:c>
      <x:c r="C21" s="70" t="inlineStr">
        <x:is>
          <x:t xml:space="preserve">64 99941-4161</x:t>
        </x:is>
      </x:c>
      <x:c r="D21" s="70" t="inlineStr">
        <x:is>
          <x:t xml:space="preserve">sarabastosmb@gmail.com</x:t>
        </x:is>
      </x:c>
      <x:c r="E21" s="70" t="inlineStr">
        <x:is>
          <x:t xml:space="preserve">POLTRÔNICA</x:t>
        </x:is>
      </x:c>
    </x:row>
    <x:row r="22" s="39" customFormat="1" ht="15" customHeight="1">
      <x:c r="A22" s="76" t="n">
        <x:v>18</x:v>
      </x:c>
      <x:c r="B22" s="70" t="inlineStr">
        <x:is>
          <x:t xml:space="preserve">RUBENS PRUDENCIO DE PAULA FILHO</x:t>
        </x:is>
      </x:c>
      <x:c r="C22" s="70" t="inlineStr">
        <x:is>
          <x:t xml:space="preserve">64 9 9641-5021</x:t>
        </x:is>
      </x:c>
      <x:c r="D22" s="70" t="inlineStr">
        <x:is>
          <x:t xml:space="preserve">vendas@petrorio.net</x:t>
        </x:is>
      </x:c>
      <x:c r="E22" s="70" t="inlineStr">
        <x:is>
          <x:t xml:space="preserve">PETRORIO COMERCIO DE COMBUSTÍVEIS LTDA</x:t>
        </x:is>
      </x:c>
    </x:row>
    <x:row r="23" s="39" customFormat="1" ht="15" customHeight="1">
      <x:c r="A23" s="76" t="n">
        <x:v>19</x:v>
      </x:c>
      <x:c r="B23" s="70" t="inlineStr">
        <x:is>
          <x:t xml:space="preserve">NELMA DE SOUZA ARAUJO</x:t>
        </x:is>
      </x:c>
      <x:c r="C23" s="70" t="inlineStr">
        <x:is>
          <x:t xml:space="preserve">64996463039</x:t>
        </x:is>
      </x:c>
      <x:c r="D23" s="70" t="inlineStr">
        <x:is>
          <x:t xml:space="preserve">nelma@chamaanelma.com.br</x:t>
        </x:is>
      </x:c>
      <x:c r="E23" s="70" t="inlineStr">
        <x:is>
          <x:t xml:space="preserve">CHAMA A NELMA</x:t>
        </x:is>
      </x:c>
    </x:row>
    <x:row r="24" s="39" customFormat="1" ht="15" customHeight="1">
      <x:c r="A24" s="76" t="n">
        <x:v>20</x:v>
      </x:c>
      <x:c r="B24" s="70" t="inlineStr">
        <x:is>
          <x:t xml:space="preserve">EUDES MACHADO LEMES</x:t>
        </x:is>
      </x:c>
      <x:c r="C24" s="70" t="inlineStr">
        <x:is>
          <x:t xml:space="preserve">64992430308</x:t>
        </x:is>
      </x:c>
      <x:c r="D24" s="70" t="inlineStr">
        <x:is>
          <x:t xml:space="preserve">escritorio@machadolemes.adv.br</x:t>
        </x:is>
      </x:c>
      <x:c r="E24" s="70" t="inlineStr">
        <x:is>
          <x:t xml:space="preserve">MACHADO LEMES SOCIEDADE DE ADVOGADOS</x:t>
        </x:is>
      </x:c>
    </x:row>
    <x:row r="25" s="39" customFormat="1" ht="15" customHeight="1">
      <x:c r="A25" s="76" t="n">
        <x:v>21</x:v>
      </x:c>
      <x:c r="B25" s="70" t="inlineStr">
        <x:is>
          <x:t xml:space="preserve">GLEICE QUELI ASSUNÇÃO</x:t>
        </x:is>
      </x:c>
      <x:c r="C25" s="70" t="inlineStr">
        <x:is>
          <x:t xml:space="preserve">64992985914</x:t>
        </x:is>
      </x:c>
      <x:c r="D25" s="70" t="inlineStr">
        <x:is>
          <x:t xml:space="preserve">secretaria@futurarv.com.br</x:t>
        </x:is>
      </x:c>
      <x:c r="E25" s="70" t="inlineStr">
        <x:is>
          <x:t xml:space="preserve">FUTURA IMÓVEIS</x:t>
        </x:is>
      </x:c>
    </x:row>
    <x:row r="26" s="39" customFormat="1" ht="15" customHeight="1">
      <x:c r="A26" s="76" t="n">
        <x:v>22</x:v>
      </x:c>
      <x:c r="B26" s="70" t="inlineStr">
        <x:is>
          <x:t xml:space="preserve">BRUNO KESSIO LEITE ARAUJO</x:t>
        </x:is>
      </x:c>
      <x:c r="C26" s="70" t="inlineStr">
        <x:is>
          <x:t xml:space="preserve">64 993096522</x:t>
        </x:is>
      </x:c>
      <x:c r="D26" s="70" t="inlineStr">
        <x:is>
          <x:t xml:space="preserve">bruno.araujo@futuraaluguel.com.be</x:t>
        </x:is>
      </x:c>
      <x:c r="E26" s="70" t="inlineStr">
        <x:is>
          <x:t xml:space="preserve">FUTURA ALUGUEL</x:t>
        </x:is>
      </x:c>
    </x:row>
    <x:row r="27" s="39" customFormat="1" ht="15" customHeight="1">
      <x:c r="A27" s="76" t="n">
        <x:v>23</x:v>
      </x:c>
      <x:c r="B27" s="70" t="inlineStr">
        <x:is>
          <x:t xml:space="preserve">EDIVAN SOUZA FERNANDES MORAIS</x:t>
        </x:is>
      </x:c>
      <x:c r="C27" s="70" t="inlineStr">
        <x:is>
          <x:t xml:space="preserve">64992636441</x:t>
        </x:is>
      </x:c>
      <x:c r="D27" s="70" t="inlineStr">
        <x:is>
          <x:t xml:space="preserve">edivansouza2021@gmail.com</x:t>
        </x:is>
      </x:c>
      <x:c r="E27" s="70" t="inlineStr">
        <x:is>
          <x:t xml:space="preserve">APALUSO</x:t>
        </x:is>
      </x:c>
    </x:row>
    <x:row r="28" s="39" customFormat="1" ht="15" customHeight="1">
      <x:c r="A28" s="76" t="n">
        <x:v>24</x:v>
      </x:c>
      <x:c r="B28" s="70" t="inlineStr">
        <x:is>
          <x:t xml:space="preserve">GIULIANNA B S CONTE</x:t>
        </x:is>
      </x:c>
      <x:c r="C28" s="70" t="inlineStr">
        <x:is>
          <x:t xml:space="preserve">64981166009</x:t>
        </x:is>
      </x:c>
      <x:c r="D28" s="70" t="inlineStr">
        <x:is>
          <x:t xml:space="preserve">giuliannacfotografia@gmail.com</x:t>
        </x:is>
      </x:c>
      <x:c r="E28" s="70" t="inlineStr">
        <x:is>
          <x:t xml:space="preserve">GIULIANNA CONTE FOTOGRAFIA</x:t>
        </x:is>
      </x:c>
    </x:row>
    <x:row r="29" s="39" customFormat="1" ht="15" customHeight="1">
      <x:c r="A29" s="76" t="n">
        <x:v>25</x:v>
      </x:c>
      <x:c r="B29" s="70" t="inlineStr">
        <x:is>
          <x:t xml:space="preserve">OTAMIRA FERREIRA DOS SANTOS SOUZA</x:t>
        </x:is>
      </x:c>
      <x:c r="C29" s="70" t="inlineStr">
        <x:is>
          <x:t xml:space="preserve">64999069663</x:t>
        </x:is>
      </x:c>
      <x:c r="D29" s="70" t="inlineStr">
        <x:is>
          <x:t xml:space="preserve">otamiraferreira@gmail.com</x:t>
        </x:is>
      </x:c>
      <x:c r="E29" s="70" t="inlineStr">
        <x:is>
          <x:t xml:space="preserve">OTAMIRA SANTOS FISIOTERAPEUTA VESTIBULAR</x:t>
        </x:is>
      </x:c>
    </x:row>
    <x:row r="30" s="39" customFormat="1" ht="15" customHeight="1">
      <x:c r="A30" s="76" t="n">
        <x:v>26</x:v>
      </x:c>
      <x:c r="B30" s="70" t="inlineStr">
        <x:is>
          <x:t xml:space="preserve">UBIRAJARA PEREIRA RODRIGUES</x:t>
        </x:is>
      </x:c>
      <x:c r="C30" s="70" t="inlineStr">
        <x:is>
          <x:t xml:space="preserve">64981763000</x:t>
        </x:is>
      </x:c>
      <x:c r="D30" s="70" t="inlineStr">
        <x:is>
          <x:t xml:space="preserve">ubirajara.rodrigues@lidertelecomgo.com.br</x:t>
        </x:is>
      </x:c>
      <x:c r="E30" s="70" t="inlineStr">
        <x:is>
          <x:t xml:space="preserve">LIDER TELECOM</x:t>
        </x:is>
      </x:c>
    </x:row>
    <x:row r="31" s="39" customFormat="1" ht="15" customHeight="1">
      <x:c r="A31" s="76" t="n">
        <x:v>27</x:v>
      </x:c>
      <x:c r="B31" s="70" t="inlineStr">
        <x:is>
          <x:t xml:space="preserve">HELDER RODRIGUES PEREIRA JUNIOR</x:t>
        </x:is>
      </x:c>
      <x:c r="C31" s="70" t="inlineStr">
        <x:is>
          <x:t xml:space="preserve">64993180122</x:t>
        </x:is>
      </x:c>
      <x:c r="D31" s="70" t="inlineStr">
        <x:is>
          <x:t xml:space="preserve">helderrodriguesrv@hotmail.com</x:t>
        </x:is>
      </x:c>
      <x:c r="E31" s="70" t="inlineStr">
        <x:is>
          <x:t xml:space="preserve">MANANCIAL FACHADAS</x:t>
        </x:is>
      </x:c>
    </x:row>
    <x:row r="32" s="39" customFormat="1" ht="15" customHeight="1">
      <x:c r="A32" s="76" t="n">
        <x:v>28</x:v>
      </x:c>
      <x:c r="B32" s="70" t="inlineStr">
        <x:is>
          <x:t xml:space="preserve">KETELY REGINA RIBEIRO DE ATAIDES</x:t>
        </x:is>
      </x:c>
      <x:c r="C32" s="70" t="inlineStr">
        <x:is>
          <x:t xml:space="preserve">64 996087022</x:t>
        </x:is>
      </x:c>
      <x:c r="D32" s="70" t="inlineStr">
        <x:is>
          <x:t xml:space="preserve">psilucianacerqueira@gmail.com</x:t>
        </x:is>
      </x:c>
      <x:c r="E32" s="70" t="inlineStr">
        <x:is>
          <x:t xml:space="preserve">LSC ESPAÇO TERAPÊUTICO GIRASSOL</x:t>
        </x:is>
      </x:c>
    </x:row>
    <x:row r="33" s="39" customFormat="1" ht="15" customHeight="1">
      <x:c r="A33" s="76" t="n">
        <x:v>29</x:v>
      </x:c>
      <x:c r="B33" s="70" t="inlineStr">
        <x:is>
          <x:t xml:space="preserve">SAMANTA VOBETO</x:t>
        </x:is>
      </x:c>
      <x:c r="C33" s="70" t="inlineStr">
        <x:is>
          <x:t xml:space="preserve">64992842515</x:t>
        </x:is>
      </x:c>
      <x:c r="D33" s="70" t="inlineStr">
        <x:is>
          <x:t xml:space="preserve">arquiteta@samantavobeto.com</x:t>
        </x:is>
      </x:c>
      <x:c r="E33" s="70" t="inlineStr">
        <x:is>
          <x:t xml:space="preserve">VOBETO ARQUITETURA</x:t>
        </x:is>
      </x:c>
    </x:row>
    <x:row r="34" s="39" customFormat="1" ht="15" customHeight="1">
      <x:c r="A34" s="76" t="n">
        <x:v>30</x:v>
      </x:c>
      <x:c r="B34" s="70" t="inlineStr">
        <x:is>
          <x:t xml:space="preserve">FRANCIELLE TIZZO RIBEIRO CHAVES</x:t>
        </x:is>
      </x:c>
      <x:c r="C34" s="70" t="inlineStr">
        <x:is>
          <x:t xml:space="preserve">64999456663</x:t>
        </x:is>
      </x:c>
      <x:c r="D34" s="70" t="inlineStr">
        <x:is>
          <x:t xml:space="preserve">francielle@anapecapital.com</x:t>
        </x:is>
      </x:c>
      <x:c r="E34" s="70" t="inlineStr">
        <x:is>
          <x:t xml:space="preserve">ANAPE CAPITAL</x:t>
        </x:is>
      </x:c>
    </x:row>
    <x:row r="35" s="39" customFormat="1" ht="15" customHeight="1">
      <x:c r="A35" s="76" t="n">
        <x:v>31</x:v>
      </x:c>
      <x:c r="B35" s="70" t="inlineStr">
        <x:is>
          <x:t xml:space="preserve">CRISTIANO PEREIRA DE JESUS</x:t>
        </x:is>
      </x:c>
      <x:c r="C35" s="70" t="inlineStr">
        <x:is>
          <x:t xml:space="preserve">64992957039</x:t>
        </x:is>
      </x:c>
      <x:c r="D35" s="70" t="inlineStr">
        <x:is>
          <x:t xml:space="preserve">machonacozinhabr@gmail.com</x:t>
        </x:is>
      </x:c>
      <x:c r="E35" s="70" t="inlineStr">
        <x:is>
          <x:t xml:space="preserve">MACHO NA COZINHA BUFFET&amp;EVENTOS</x:t>
        </x:is>
      </x:c>
    </x:row>
    <x:row r="36" s="39" customFormat="1" ht="15" customHeight="1">
      <x:c r="A36" s="76" t="n">
        <x:v>32</x:v>
      </x:c>
      <x:c r="B36" s="70" t="inlineStr">
        <x:is>
          <x:t xml:space="preserve">BRENDO LACERDA</x:t>
        </x:is>
      </x:c>
      <x:c r="C36" s="70" t="inlineStr">
        <x:is>
          <x:t xml:space="preserve">64992598309</x:t>
        </x:is>
      </x:c>
      <x:c r="D36" s="70" t="inlineStr">
        <x:is>
          <x:t xml:space="preserve">brendolacerdarv@gmail.com</x:t>
        </x:is>
      </x:c>
      <x:c r="E36" s="70" t="inlineStr">
        <x:is>
          <x:t xml:space="preserve">MYSHOP</x:t>
        </x:is>
      </x:c>
    </x:row>
    <x:row r="37" s="39" customFormat="1" ht="15" customHeight="1">
      <x:c r="A37" s="76" t="n">
        <x:v>33</x:v>
      </x:c>
      <x:c r="B37" s="70" t="inlineStr">
        <x:is>
          <x:t xml:space="preserve">KAROLINA STEPHANE LEÃO RIBEIRO</x:t>
        </x:is>
      </x:c>
      <x:c r="C37" s="70" t="inlineStr">
        <x:is>
          <x:t xml:space="preserve">64992112606</x:t>
        </x:is>
      </x:c>
      <x:c r="D37" s="70" t="inlineStr">
        <x:is>
          <x:t xml:space="preserve">artes.prodesigner@gmail.com</x:t>
        </x:is>
      </x:c>
      <x:c r="E37" s="70" t="inlineStr">
        <x:is>
          <x:t xml:space="preserve">PRO COMUNICAÇÃO VISUAL</x:t>
        </x:is>
      </x:c>
    </x:row>
    <x:row r="38" s="39" customFormat="1" ht="15" customHeight="1">
      <x:c r="A38" s="76" t="n">
        <x:v>34</x:v>
      </x:c>
      <x:c r="B38" s="70" t="inlineStr">
        <x:is>
          <x:t xml:space="preserve">FABIO BENJAMIN MONTEIRO BATISTA ALVES</x:t>
        </x:is>
      </x:c>
      <x:c r="C38" s="70" t="inlineStr">
        <x:is>
          <x:t xml:space="preserve">64984075565</x:t>
        </x:is>
      </x:c>
      <x:c r="D38" s="70" t="inlineStr">
        <x:is>
          <x:t xml:space="preserve">fabiobenjaminm@gmail.com</x:t>
        </x:is>
      </x:c>
      <x:c r="E38" s="70" t="inlineStr">
        <x:is>
          <x:t xml:space="preserve">CLINICA DE OLHOS PROVISÃO</x:t>
        </x:is>
      </x:c>
    </x:row>
    <x:row r="39" s="39" customFormat="1" ht="15" customHeight="1">
      <x:c r="A39" s="76" t="n">
        <x:v>35</x:v>
      </x:c>
      <x:c r="B39" s="70" t="inlineStr">
        <x:is>
          <x:t xml:space="preserve">THYAGO NAVES DA COSTA</x:t>
        </x:is>
      </x:c>
      <x:c r="C39" s="70" t="inlineStr">
        <x:is>
          <x:t xml:space="preserve">64 98451 1852</x:t>
        </x:is>
      </x:c>
      <x:c r="D39" s="70" t="inlineStr">
        <x:is>
          <x:t xml:space="preserve">thyago.docencia@gmail.com</x:t>
        </x:is>
      </x:c>
      <x:c r="E39" s="70" t="inlineStr">
        <x:is>
          <x:t xml:space="preserve">INSTITUTO CORPORATIVO DE EDUCAÇÃO EM NEGÓCIOS - I100</x:t>
        </x:is>
      </x:c>
    </x:row>
    <x:row r="40" s="39" customFormat="1" ht="15" customHeight="1">
      <x:c r="A40" s="76" t="n">
        <x:v>36</x:v>
      </x:c>
      <x:c r="B40" s="70" t="inlineStr">
        <x:is>
          <x:t xml:space="preserve">BRUNO ARANTES</x:t>
        </x:is>
      </x:c>
      <x:c r="C40" s="70" t="inlineStr">
        <x:is>
          <x:t xml:space="preserve">(64)992460481</x:t>
        </x:is>
      </x:c>
      <x:c r="D40" s="70" t="inlineStr">
        <x:is>
          <x:t xml:space="preserve">arantescontador@gmail.com</x:t>
        </x:is>
      </x:c>
      <x:c r="E40" s="70" t="inlineStr">
        <x:is>
          <x:t xml:space="preserve">PRINT COMUNICAÇÃO VISUAL</x:t>
        </x:is>
      </x:c>
    </x:row>
    <x:row r="41" s="39" customFormat="1" ht="15" customHeight="1">
      <x:c r="A41" s="76" t="n">
        <x:v>37</x:v>
      </x:c>
      <x:c r="B41" s="70" t="inlineStr">
        <x:is>
          <x:t xml:space="preserve">SAMUEL FONSECA</x:t>
        </x:is>
      </x:c>
      <x:c r="C41" s="70" t="inlineStr">
        <x:is>
          <x:t xml:space="preserve">71984264435</x:t>
        </x:is>
      </x:c>
      <x:c r="D41" s="70" t="inlineStr">
        <x:is>
          <x:t xml:space="preserve">samuelpromessa8@gmail.com</x:t>
        </x:is>
      </x:c>
      <x:c r="E41" s="70" t="inlineStr">
        <x:is>
          <x:t xml:space="preserve">MINDFLUX</x:t>
        </x:is>
      </x:c>
    </x:row>
    <x:row r="42" s="39" customFormat="1" ht="15" customHeight="1">
      <x:c r="A42" s="76" t="n">
        <x:v>38</x:v>
      </x:c>
      <x:c r="B42" s="70" t="inlineStr">
        <x:is>
          <x:t xml:space="preserve">DANIELE ANDRADE</x:t>
        </x:is>
      </x:c>
      <x:c r="C42" s="70" t="inlineStr">
        <x:is>
          <x:t xml:space="preserve">61992291818</x:t>
        </x:is>
      </x:c>
      <x:c r="D42" s="70" t="inlineStr">
        <x:is>
          <x:t xml:space="preserve">daniele.simoinvest@gmail.com</x:t>
        </x:is>
      </x:c>
      <x:c r="E42" s="70" t="inlineStr">
        <x:is>
          <x:t xml:space="preserve">ADEGA SALGADOS</x:t>
        </x:is>
      </x:c>
    </x:row>
    <x:row r="43" s="39" customFormat="1" ht="15" customHeight="1">
      <x:c r="A43" s="76" t="n">
        <x:v>39</x:v>
      </x:c>
      <x:c r="B43" s="70" t="inlineStr">
        <x:is>
          <x:t xml:space="preserve">ANNA MARQUEZ</x:t>
        </x:is>
      </x:c>
      <x:c r="C43" s="70" t="inlineStr">
        <x:is>
          <x:t xml:space="preserve">64999598981</x:t>
        </x:is>
      </x:c>
      <x:c r="D43" s="70" t="inlineStr">
        <x:is>
          <x:t xml:space="preserve">anninhaavm@hotmail.com</x:t>
        </x:is>
      </x:c>
      <x:c r="E43" s="70" t="inlineStr">
        <x:is>
          <x:t xml:space="preserve">ANNA MARQUEZ BLINDAGEM PATRIMONIAL</x:t>
        </x:is>
      </x:c>
    </x:row>
    <x:row r="44" s="39" customFormat="1" ht="15" customHeight="1">
      <x:c r="A44" s="76" t="n">
        <x:v>40</x:v>
      </x:c>
      <x:c r="B44" s="70" t="inlineStr">
        <x:is>
          <x:t xml:space="preserve">RENATA DE SOUSA PEIXOTO</x:t>
        </x:is>
      </x:c>
      <x:c r="C44" s="70" t="inlineStr">
        <x:is>
          <x:t xml:space="preserve">64992628778</x:t>
        </x:is>
      </x:c>
      <x:c r="D44" s="70" t="inlineStr">
        <x:is>
          <x:t xml:space="preserve">re_399@hotmail.com</x:t>
        </x:is>
      </x:c>
      <x:c r="E44" s="70" t="inlineStr">
        <x:is>
          <x:t xml:space="preserve">PAX RIO VERDE SERVIÇOS PÓSTUMOS</x:t>
        </x:is>
      </x:c>
    </x:row>
    <x:row r="45" s="39" customFormat="1" ht="15" customHeight="1">
      <x:c r="A45" s="76" t="n">
        <x:v>41</x:v>
      </x:c>
      <x:c r="B45" s="70" t="inlineStr">
        <x:is>
          <x:t xml:space="preserve">MARCOS RIBEIRO</x:t>
        </x:is>
      </x:c>
      <x:c r="C45" s="70" t="inlineStr">
        <x:is>
          <x:t xml:space="preserve">64 98405 7864</x:t>
        </x:is>
      </x:c>
      <x:c r="D45" s="70" t="inlineStr">
        <x:is>
          <x:t xml:space="preserve">marquimeletromar@gmail.com</x:t>
        </x:is>
      </x:c>
      <x:c r="E45" s="70" t="inlineStr">
        <x:is>
          <x:t xml:space="preserve">ELETROMAR MATERIAIS ELÉTRICOS E HIDRÁULICOS</x:t>
        </x:is>
      </x:c>
    </x:row>
    <x:row r="46" s="39" customFormat="1" ht="15" customHeight="1">
      <x:c r="A46" s="76" t="n">
        <x:v>42</x:v>
      </x:c>
      <x:c r="B46" s="70" t="inlineStr">
        <x:is>
          <x:t xml:space="preserve">VÂNIA GOMES MACHADO DOMINGOS</x:t>
        </x:is>
      </x:c>
      <x:c r="C46" s="70" t="inlineStr">
        <x:is>
          <x:t xml:space="preserve">64993342765</x:t>
        </x:is>
      </x:c>
      <x:c r="D46" s="70" t="inlineStr">
        <x:is>
          <x:t xml:space="preserve">vaniamachadopsi@hotmail.com</x:t>
        </x:is>
      </x:c>
      <x:c r="E46" s="70" t="inlineStr">
        <x:is>
          <x:t xml:space="preserve">DRA VÂNIA MACHADO</x:t>
        </x:is>
      </x:c>
    </x:row>
    <x:row r="47" s="39" customFormat="1" ht="15" customHeight="1">
      <x:c r="A47" s="76" t="n">
        <x:v>43</x:v>
      </x:c>
      <x:c r="B47" s="70" t="inlineStr">
        <x:is>
          <x:t xml:space="preserve">WELITON DA SILVA FERREIRA</x:t>
        </x:is>
      </x:c>
      <x:c r="C47" s="70" t="inlineStr">
        <x:is>
          <x:t xml:space="preserve">64992314762</x:t>
        </x:is>
      </x:c>
      <x:c r="D47" s="70" t="inlineStr">
        <x:is>
          <x:t xml:space="preserve">ferreirainstalacoes7@gmail.com</x:t>
        </x:is>
      </x:c>
      <x:c r="E47" s="70" t="inlineStr">
        <x:is>
          <x:t xml:space="preserve">FERREIRA INSTALAÇÕES</x:t>
        </x:is>
      </x:c>
    </x:row>
    <x:row r="48" s="39" customFormat="1" ht="15" customHeight="1">
      <x:c r="A48" s="76" t="n">
        <x:v>44</x:v>
      </x:c>
      <x:c r="B48" s="70" t="inlineStr">
        <x:is>
          <x:t xml:space="preserve">JUÍRA REZENDE</x:t>
        </x:is>
      </x:c>
      <x:c r="C48" s="70" t="inlineStr">
        <x:is>
          <x:t xml:space="preserve">62 999077055</x:t>
        </x:is>
      </x:c>
      <x:c r="D48" s="70" t="inlineStr">
        <x:is>
          <x:t xml:space="preserve">rezendejuira@gmail.com</x:t>
        </x:is>
      </x:c>
      <x:c r="E48" s="70" t="inlineStr">
        <x:is>
          <x:t xml:space="preserve">CAPELI E CARVALHO GESTÃO DE NEGOCIOS</x:t>
        </x:is>
      </x:c>
    </x:row>
    <x:row r="49" s="39" customFormat="1" ht="15" customHeight="1">
      <x:c r="A49" s="76" t="n">
        <x:v>45</x:v>
      </x:c>
      <x:c r="B49" s="70" t="inlineStr">
        <x:is>
          <x:t xml:space="preserve">RAFAEL L GUIMARÃES</x:t>
        </x:is>
      </x:c>
      <x:c r="C49" s="70" t="inlineStr">
        <x:is>
          <x:t xml:space="preserve">64981212828</x:t>
        </x:is>
      </x:c>
      <x:c r="D49" s="70" t="inlineStr">
        <x:is>
          <x:t xml:space="preserve">financeiro@searv.com.br</x:t>
        </x:is>
      </x:c>
      <x:c r="E49" s="70" t="inlineStr">
        <x:is>
          <x:t xml:space="preserve">SEARV PRODUTOS AGROPECUÁRIOS</x:t>
        </x:is>
      </x:c>
    </x:row>
    <x:row r="50" s="39" customFormat="1" ht="15" customHeight="1">
      <x:c r="A50" s="76" t="n">
        <x:v>46</x:v>
      </x:c>
      <x:c r="B50" s="70" t="n"/>
      <x:c r="C50" s="70" t="n"/>
      <x:c r="D50" s="70" t="n"/>
      <x:c r="E50" s="70" t="n"/>
    </x:row>
    <x:row r="51" s="39" customFormat="1" ht="15" customHeight="1">
      <x:c r="A51" s="76" t="n">
        <x:v>47</x:v>
      </x:c>
      <x:c r="B51" s="70" t="n"/>
      <x:c r="C51" s="70" t="n"/>
      <x:c r="D51" s="70" t="n"/>
      <x:c r="E51" s="70" t="n"/>
    </x:row>
    <x:row r="52" s="39" customFormat="1" ht="15" customHeight="1">
      <x:c r="A52" s="76" t="n">
        <x:v>48</x:v>
      </x:c>
      <x:c r="B52" s="70" t="n"/>
      <x:c r="C52" s="70" t="n"/>
      <x:c r="D52" s="70" t="n"/>
      <x:c r="E52" s="70" t="n"/>
    </x:row>
    <x:row r="53" s="39" customFormat="1" ht="15" customHeight="1">
      <x:c r="A53" s="76" t="n">
        <x:v>49</x:v>
      </x:c>
      <x:c r="B53" s="70" t="n"/>
      <x:c r="C53" s="70" t="n"/>
      <x:c r="D53" s="70" t="n"/>
      <x:c r="E53" s="70" t="n"/>
    </x:row>
    <x:row r="54" s="39" customFormat="1" ht="15" customHeight="1">
      <x:c r="A54" s="76" t="n">
        <x:v>50</x:v>
      </x:c>
      <x:c r="B54" s="70" t="n"/>
      <x:c r="C54" s="70" t="n"/>
      <x:c r="D54" s="70" t="n"/>
      <x:c r="E54" s="70" t="n"/>
    </x:row>
    <x:row r="55" s="39" customFormat="1" ht="15" customHeight="1">
      <x:c r="A55" s="76" t="n">
        <x:v>51</x:v>
      </x:c>
      <x:c r="B55" s="70" t="n"/>
      <x:c r="C55" s="70" t="n"/>
      <x:c r="D55" s="70" t="n"/>
      <x:c r="E55" s="70" t="n"/>
    </x:row>
    <x:row r="56" s="39" customFormat="1" ht="15" customHeight="1">
      <x:c r="A56" s="76" t="n">
        <x:v>52</x:v>
      </x:c>
      <x:c r="B56" s="70" t="n"/>
      <x:c r="C56" s="70" t="n"/>
      <x:c r="D56" s="70" t="n"/>
      <x:c r="E56" s="70" t="n"/>
    </x:row>
    <x:row r="57" s="39" customFormat="1" ht="15" customHeight="1">
      <x:c r="A57" s="76" t="n">
        <x:v>53</x:v>
      </x:c>
      <x:c r="B57" s="70" t="n"/>
      <x:c r="C57" s="70" t="n"/>
      <x:c r="D57" s="70" t="n"/>
      <x:c r="E57" s="70" t="n"/>
    </x:row>
    <x:row r="58" s="39" customFormat="1" ht="15" customHeight="1">
      <x:c r="A58" s="76" t="n">
        <x:v>54</x:v>
      </x:c>
      <x:c r="B58" s="70" t="n"/>
      <x:c r="C58" s="70" t="n"/>
      <x:c r="D58" s="70" t="n"/>
      <x:c r="E58" s="70" t="n"/>
    </x:row>
    <x:row r="59" s="39" customFormat="1" ht="15" customHeight="1">
      <x:c r="A59" s="76" t="n">
        <x:v>55</x:v>
      </x:c>
      <x:c r="B59" s="70" t="n"/>
      <x:c r="C59" s="70" t="n"/>
      <x:c r="D59" s="70" t="n"/>
      <x:c r="E59" s="70" t="n"/>
    </x:row>
    <x:row r="60" s="39" customFormat="1" ht="15" customHeight="1">
      <x:c r="A60" s="76" t="n">
        <x:v>56</x:v>
      </x:c>
      <x:c r="B60" s="70" t="n"/>
      <x:c r="C60" s="70" t="n"/>
      <x:c r="D60" s="70" t="n"/>
      <x:c r="E60" s="70" t="n"/>
    </x:row>
    <x:row r="61" s="39" customFormat="1" ht="15" customHeight="1">
      <x:c r="A61" s="76" t="n">
        <x:v>57</x:v>
      </x:c>
      <x:c r="B61" s="70" t="n"/>
      <x:c r="C61" s="70" t="n"/>
      <x:c r="D61" s="70" t="n"/>
      <x:c r="E61" s="70" t="n"/>
    </x:row>
    <x:row r="62" s="39" customFormat="1" ht="15" customHeight="1">
      <x:c r="A62" s="76" t="n">
        <x:v>58</x:v>
      </x:c>
      <x:c r="B62" s="70" t="n"/>
      <x:c r="C62" s="70" t="n"/>
      <x:c r="D62" s="70" t="n"/>
      <x:c r="E62" s="70" t="n"/>
    </x:row>
    <x:row r="63" s="39" customFormat="1" ht="15" customHeight="1">
      <x:c r="A63" s="76" t="n">
        <x:v>59</x:v>
      </x:c>
      <x:c r="B63" s="70" t="n"/>
      <x:c r="C63" s="70" t="n"/>
      <x:c r="D63" s="70" t="n"/>
      <x:c r="E63" s="70" t="n"/>
    </x:row>
    <x:row r="64" s="39" customFormat="1" ht="15" customHeight="1">
      <x:c r="A64" s="76" t="n">
        <x:v>60</x:v>
      </x:c>
      <x:c r="B64" s="70" t="n"/>
      <x:c r="C64" s="70" t="n"/>
      <x:c r="D64" s="70" t="n"/>
      <x:c r="E64" s="70" t="n"/>
    </x:row>
  </x:sheetData>
  <x:mergeCells>
    <x:mergeCell ref="A2:E2"/>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ColWidth="8.54296875" defaultRowHeight="15"/>
  <x:cols>
    <x:col min="1" max="1" width="45" style="67" customWidth="1"/>
    <x:col min="2" max="2" width="33" style="67" customWidth="1"/>
    <x:col min="3" max="3" width="15" style="67" customWidth="1"/>
    <x:col min="4" max="4" width="13" style="67" customWidth="1"/>
    <x:col min="5" max="5" width="29" style="67" customWidth="1"/>
    <x:col min="6" max="7" width="45" style="67" customWidth="1"/>
  </x:cols>
  <x:sheetData>
    <x:row r="1" s="39" customFormat="1" ht="20.450000762939453" customHeight="1">
      <x:c r="A1" s="68" t="inlineStr">
        <x:is>
          <x:t xml:space="preserve">Metas 2026</x:t>
        </x:is>
      </x:c>
    </x:row>
    <x:row r="2" s="39" customFormat="1" ht="15" customHeight="1">
      <x:c r="A2" s="74" t="inlineStr">
        <x:is>
          <x:t xml:space="preserve">Metas estratégicas úteis para acompanhamento do dashboard.</x:t>
        </x:is>
      </x:c>
    </x:row>
    <x:row r="4" s="39" customFormat="1" ht="15" customHeight="1">
      <x:c r="A4" s="69" t="inlineStr">
        <x:is>
          <x:t xml:space="preserve">tema</x:t>
        </x:is>
      </x:c>
      <x:c r="B4" s="69" t="inlineStr">
        <x:is>
          <x:t xml:space="preserve">indicador</x:t>
        </x:is>
      </x:c>
      <x:c r="C4" s="69" t="inlineStr">
        <x:is>
          <x:t xml:space="preserve">meta_numerica</x:t>
        </x:is>
      </x:c>
      <x:c r="D4" s="69" t="inlineStr">
        <x:is>
          <x:t xml:space="preserve">unidade</x:t>
        </x:is>
      </x:c>
      <x:c r="E4" s="69" t="inlineStr">
        <x:is>
          <x:t xml:space="preserve">meta_texto</x:t>
        </x:is>
      </x:c>
      <x:c r="F4" s="69" t="inlineStr">
        <x:is>
          <x:t xml:space="preserve">fonte</x:t>
        </x:is>
      </x:c>
      <x:c r="G4" s="69" t="inlineStr">
        <x:is>
          <x:t xml:space="preserve">observacoes</x:t>
        </x:is>
      </x:c>
    </x:row>
    <x:row r="5" s="39" customFormat="1" ht="21.649999618530273" customHeight="1">
      <x:c r="A5" s="70" t="inlineStr">
        <x:is>
          <x:t xml:space="preserve">Associados</x:t>
        </x:is>
      </x:c>
      <x:c r="B5" s="70" t="inlineStr">
        <x:is>
          <x:t xml:space="preserve">Novos associados</x:t>
        </x:is>
      </x:c>
      <x:c r="C5" s="78" t="n">
        <x:v>0.3</x:v>
      </x:c>
      <x:c r="D5" s="70" t="inlineStr">
        <x:is>
          <x:t xml:space="preserve">crescimento</x:t>
        </x:is>
      </x:c>
      <x:c r="E5" s="70" t="inlineStr">
        <x:is>
          <x:t xml:space="preserve">+30% de novos associados</x:t>
        </x:is>
      </x:c>
      <x:c r="F5" s="70" t="inlineStr">
        <x:is>
          <x:t xml:space="preserve">Planejamento_Estratégico_ACIRV_2026_Conectar_e_Crescer.pptx.pdf</x:t>
        </x:is>
      </x:c>
      <x:c r="G5" s="70" t="inlineStr">
        <x:is>
          <x:t xml:space="preserve">Meta estratégica 2026.</x:t>
        </x:is>
      </x:c>
    </x:row>
    <x:row r="6" s="39" customFormat="1" ht="21.649999618530273" customHeight="1">
      <x:c r="A6" s="70" t="inlineStr">
        <x:is>
          <x:t xml:space="preserve">Associados</x:t>
        </x:is>
      </x:c>
      <x:c r="B6" s="70" t="inlineStr">
        <x:is>
          <x:t xml:space="preserve">Taxa de retenção</x:t>
        </x:is>
      </x:c>
      <x:c r="C6" s="78" t="n">
        <x:v>0.8</x:v>
      </x:c>
      <x:c r="D6" s="70" t="inlineStr">
        <x:is>
          <x:t xml:space="preserve">percentual</x:t>
        </x:is>
      </x:c>
      <x:c r="E6" s="70" t="inlineStr">
        <x:is>
          <x:t xml:space="preserve">80% de retenção</x:t>
        </x:is>
      </x:c>
      <x:c r="F6" s="70" t="inlineStr">
        <x:is>
          <x:t xml:space="preserve">Planejamento_Estratégico_ACIRV_2026_Conectar_e_Crescer.pptx.pdf</x:t>
        </x:is>
      </x:c>
      <x:c r="G6" s="70" t="inlineStr">
        <x:is>
          <x:t xml:space="preserve">Meta estratégica 2026.</x:t>
        </x:is>
      </x:c>
    </x:row>
    <x:row r="7" s="39" customFormat="1" ht="21.649999618530273" customHeight="1">
      <x:c r="A7" s="70" t="inlineStr">
        <x:is>
          <x:t xml:space="preserve">Marketing</x:t>
        </x:is>
      </x:c>
      <x:c r="B7" s="70" t="inlineStr">
        <x:is>
          <x:t xml:space="preserve">Crescimento digital</x:t>
        </x:is>
      </x:c>
      <x:c r="C7" s="78" t="n">
        <x:v>0.5</x:v>
      </x:c>
      <x:c r="D7" s="70" t="inlineStr">
        <x:is>
          <x:t xml:space="preserve">crescimento</x:t>
        </x:is>
      </x:c>
      <x:c r="E7" s="70" t="inlineStr">
        <x:is>
          <x:t xml:space="preserve">+50% de crescimento digital</x:t>
        </x:is>
      </x:c>
      <x:c r="F7" s="70" t="inlineStr">
        <x:is>
          <x:t xml:space="preserve">Planejamento_Estratégico_ACIRV_2026_Conectar_e_Crescer.pptx.pdf</x:t>
        </x:is>
      </x:c>
      <x:c r="G7" s="70" t="inlineStr">
        <x:is>
          <x:t xml:space="preserve">Pode ser operacionalizada via seguidores, alcance e interações.</x:t>
        </x:is>
      </x:c>
    </x:row>
    <x:row r="8" s="39" customFormat="1" ht="21.649999618530273" customHeight="1">
      <x:c r="A8" s="70" t="inlineStr">
        <x:is>
          <x:t xml:space="preserve">Captação</x:t>
        </x:is>
      </x:c>
      <x:c r="B8" s="70" t="inlineStr">
        <x:is>
          <x:t xml:space="preserve">Taxa da landing page Associe-se</x:t>
        </x:is>
      </x:c>
      <x:c r="C8" s="78" t="n">
        <x:v>0.15</x:v>
      </x:c>
      <x:c r="D8" s="70" t="inlineStr">
        <x:is>
          <x:t xml:space="preserve">percentual</x:t>
        </x:is>
      </x:c>
      <x:c r="E8" s="70" t="inlineStr">
        <x:is>
          <x:t xml:space="preserve">Mínimo 15%</x:t>
        </x:is>
      </x:c>
      <x:c r="F8" s="70" t="inlineStr">
        <x:is>
          <x:t xml:space="preserve">Planejamento_Estratégico_ACIRV_2026_Conectar_e_Crescer.pptx.pdf</x:t>
        </x:is>
      </x:c>
      <x:c r="G8" s="70" t="inlineStr">
        <x:is>
          <x:t xml:space="preserve">Requer integração futura com site/analytics.</x:t>
        </x:is>
      </x:c>
    </x:row>
    <x:row r="9" s="39" customFormat="1" ht="21.649999618530273" customHeight="1">
      <x:c r="A9" s="70" t="inlineStr">
        <x:is>
          <x:t xml:space="preserve">Relacionamento</x:t>
        </x:is>
      </x:c>
      <x:c r="B9" s="70" t="inlineStr">
        <x:is>
          <x:t xml:space="preserve">Taxa de abertura ACIRV News</x:t>
        </x:is>
      </x:c>
      <x:c r="C9" s="78" t="n">
        <x:v>0.3</x:v>
      </x:c>
      <x:c r="D9" s="70" t="inlineStr">
        <x:is>
          <x:t xml:space="preserve">percentual</x:t>
        </x:is>
      </x:c>
      <x:c r="E9" s="70" t="inlineStr">
        <x:is>
          <x:t xml:space="preserve">Mínimo 30%</x:t>
        </x:is>
      </x:c>
      <x:c r="F9" s="70" t="inlineStr">
        <x:is>
          <x:t xml:space="preserve">Planejamento_Estratégico_ACIRV_2026_Conectar_e_Crescer.pptx.pdf</x:t>
        </x:is>
      </x:c>
      <x:c r="G9" s="70" t="inlineStr">
        <x:is>
          <x:t xml:space="preserve">Requer dados de ferramenta de e-mail.</x:t>
        </x:is>
      </x:c>
    </x:row>
  </x:sheetData>
  <x:mergeCells>
    <x:mergeCell ref="A2:G2"/>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ColWidth="8.54296875" defaultRowHeight="15"/>
  <x:cols>
    <x:col min="1" max="1" width="29" style="67" customWidth="1"/>
    <x:col min="2" max="2" width="37" style="67" customWidth="1"/>
    <x:col min="3" max="3" width="45" style="67" customWidth="1"/>
    <x:col min="4" max="5" width="10" style="67" customWidth="1"/>
    <x:col min="6" max="7" width="19" style="67" customWidth="1"/>
  </x:cols>
  <x:sheetData>
    <x:row r="1" s="39" customFormat="1" ht="19.700000762939453" customHeight="1">
      <x:c r="A1" s="85" t="inlineStr">
        <x:is>
          <x:t xml:space="preserve">Diagnóstico dos 84 posts</x:t>
        </x:is>
      </x:c>
    </x:row>
    <x:row r="3" s="39" customFormat="1" ht="15" customHeight="1">
      <x:c r="A3" s="86" t="inlineStr">
        <x:is>
          <x:t xml:space="preserve">Métrica</x:t>
        </x:is>
      </x:c>
      <x:c r="B3" s="86" t="inlineStr">
        <x:is>
          <x:t xml:space="preserve">Valor</x:t>
        </x:is>
      </x:c>
      <x:c r="C3" s="86" t="inlineStr">
        <x:is>
          <x:t xml:space="preserve">Observação</x:t>
        </x:is>
      </x:c>
    </x:row>
    <x:row r="4" s="39" customFormat="1" ht="15" customHeight="1">
      <x:c r="A4" s="87" t="inlineStr">
        <x:is>
          <x:t xml:space="preserve">Posts analisados</x:t>
        </x:is>
      </x:c>
      <x:c r="B4" s="88">
        <x:f>COUNTA('Instagram 84 Posts'!A5:A88)</x:f>
        <x:v>84</x:v>
      </x:c>
      <x:c r="C4" s="89" t="inlineStr">
        <x:is>
          <x:t xml:space="preserve">Base importada do CSV.</x:t>
        </x:is>
      </x:c>
    </x:row>
    <x:row r="5" s="39" customFormat="1" ht="15" customHeight="1">
      <x:c r="A5" s="87" t="inlineStr">
        <x:is>
          <x:t xml:space="preserve">Período inicial</x:t>
        </x:is>
      </x:c>
      <x:c r="B5" s="90">
        <x:f>MIN('Instagram 84 Posts'!A:A)</x:f>
        <x:v>46048</x:v>
      </x:c>
      <x:c r="C5" s="89" t="inlineStr">
        <x:is>
          <x:t xml:space="preserve">Primeira publicação do recorte.</x:t>
        </x:is>
      </x:c>
    </x:row>
    <x:row r="6" s="39" customFormat="1" ht="15" customHeight="1">
      <x:c r="A6" s="87" t="inlineStr">
        <x:is>
          <x:t xml:space="preserve">Período final</x:t>
        </x:is>
      </x:c>
      <x:c r="B6" s="90">
        <x:f>MAX('Instagram 84 Posts'!A:A)</x:f>
        <x:v>46122</x:v>
      </x:c>
      <x:c r="C6" s="89" t="inlineStr">
        <x:is>
          <x:t xml:space="preserve">Última publicação do recorte.</x:t>
        </x:is>
      </x:c>
    </x:row>
    <x:row r="7" s="39" customFormat="1" ht="15" customHeight="1">
      <x:c r="A7" s="87" t="inlineStr">
        <x:is>
          <x:t xml:space="preserve">Likes totais</x:t>
        </x:is>
      </x:c>
      <x:c r="B7" s="88">
        <x:f>SUM('Instagram 84 Posts'!D:D)</x:f>
        <x:v>1749</x:v>
      </x:c>
      <x:c r="C7" s="89" t="n"/>
    </x:row>
    <x:row r="8" s="39" customFormat="1" ht="15" customHeight="1">
      <x:c r="A8" s="87" t="inlineStr">
        <x:is>
          <x:t xml:space="preserve">Comentários totais</x:t>
        </x:is>
      </x:c>
      <x:c r="B8" s="88">
        <x:f>SUM('Instagram 84 Posts'!E:E)</x:f>
        <x:v>248</x:v>
      </x:c>
      <x:c r="C8" s="89" t="n"/>
    </x:row>
    <x:row r="9" s="39" customFormat="1" ht="15" customHeight="1">
      <x:c r="A9" s="87" t="inlineStr">
        <x:is>
          <x:t xml:space="preserve">Views totais</x:t>
        </x:is>
      </x:c>
      <x:c r="B9" s="88">
        <x:f>SUM('Instagram 84 Posts'!F:F)</x:f>
        <x:v>18398</x:v>
      </x:c>
      <x:c r="C9" s="89" t="n"/>
    </x:row>
    <x:row r="10" s="39" customFormat="1" ht="15" customHeight="1">
      <x:c r="A10" s="91" t="inlineStr">
        <x:is>
          <x:t xml:space="preserve">% posts com &lt;= 5 likes</x:t>
        </x:is>
      </x:c>
      <x:c r="B10" s="92" t="n">
        <x:v>0.583333333333333</x:v>
      </x:c>
      <x:c r="C10" s="89" t="inlineStr">
        <x:is>
          <x:t xml:space="preserve">Diagnóstico citado também na apresentação de stakeholders.</x:t>
        </x:is>
      </x:c>
    </x:row>
    <x:row r="11" s="39" customFormat="1" ht="15" customHeight="1">
      <x:c r="A11" s="91" t="inlineStr">
        <x:is>
          <x:t xml:space="preserve">% do engajamento no top 20%</x:t>
        </x:is>
      </x:c>
      <x:c r="B11" s="92" t="n">
        <x:v>0.71156735102654</x:v>
      </x:c>
      <x:c r="C11" s="89" t="inlineStr">
        <x:is>
          <x:t xml:space="preserve">Top 17 posts concentram a maior parte do engajamento.</x:t>
        </x:is>
      </x:c>
    </x:row>
    <x:row r="12" s="39" customFormat="1" ht="15" customHeight="1">
      <x:c r="A12" s="91" t="inlineStr">
        <x:is>
          <x:t xml:space="preserve">% dos likes no top 20%</x:t>
        </x:is>
      </x:c>
      <x:c r="B12" s="92" t="n">
        <x:v>0.747284162378502</x:v>
      </x:c>
      <x:c r="C12" s="89" t="inlineStr">
        <x:is>
          <x:t xml:space="preserve">Top 17 posts concentram a maior parte dos likes.</x:t>
        </x:is>
      </x:c>
    </x:row>
    <x:row r="15" s="39" customFormat="1" ht="19.700000762939453" customHeight="1">
      <x:c r="A15" s="85" t="inlineStr">
        <x:is>
          <x:t xml:space="preserve">Resumo por formato</x:t>
        </x:is>
      </x:c>
    </x:row>
    <x:row r="16" s="39" customFormat="1" ht="15" customHeight="1">
      <x:c r="A16" s="86" t="inlineStr">
        <x:is>
          <x:t xml:space="preserve">formato</x:t>
        </x:is>
      </x:c>
      <x:c r="B16" s="86" t="inlineStr">
        <x:is>
          <x:t xml:space="preserve">posts</x:t>
        </x:is>
      </x:c>
      <x:c r="C16" s="86" t="inlineStr">
        <x:is>
          <x:t xml:space="preserve">likes</x:t>
        </x:is>
      </x:c>
      <x:c r="D16" s="86" t="inlineStr">
        <x:is>
          <x:t xml:space="preserve">comments</x:t>
        </x:is>
      </x:c>
      <x:c r="E16" s="86" t="inlineStr">
        <x:is>
          <x:t xml:space="preserve">views</x:t>
        </x:is>
      </x:c>
      <x:c r="F16" s="86" t="inlineStr">
        <x:is>
          <x:t xml:space="preserve">engajamento_total</x:t>
        </x:is>
      </x:c>
      <x:c r="G16" s="86" t="inlineStr">
        <x:is>
          <x:t xml:space="preserve">engajamento_medio</x:t>
        </x:is>
      </x:c>
    </x:row>
    <x:row r="17" s="39" customFormat="1" ht="15" customHeight="1">
      <x:c r="A17" s="93" t="inlineStr">
        <x:is>
          <x:t xml:space="preserve">Carrossel</x:t>
        </x:is>
      </x:c>
      <x:c r="B17" s="94" t="n">
        <x:v>38</x:v>
      </x:c>
      <x:c r="C17" s="94" t="n">
        <x:v>1084</x:v>
      </x:c>
      <x:c r="D17" s="94" t="n">
        <x:v>168</x:v>
      </x:c>
      <x:c r="E17" s="94" t="n">
        <x:v>0</x:v>
      </x:c>
      <x:c r="F17" s="94" t="n">
        <x:v>1252</x:v>
      </x:c>
      <x:c r="G17" s="95" t="n">
        <x:v>32.9473684210526</x:v>
      </x:c>
    </x:row>
    <x:row r="18" s="39" customFormat="1" ht="15" customHeight="1">
      <x:c r="A18" s="93" t="inlineStr">
        <x:is>
          <x:t xml:space="preserve">Feed</x:t>
        </x:is>
      </x:c>
      <x:c r="B18" s="94" t="n">
        <x:v>29</x:v>
      </x:c>
      <x:c r="C18" s="94" t="n">
        <x:v>213</x:v>
      </x:c>
      <x:c r="D18" s="94" t="n">
        <x:v>37</x:v>
      </x:c>
      <x:c r="E18" s="94" t="n">
        <x:v>0</x:v>
      </x:c>
      <x:c r="F18" s="94" t="n">
        <x:v>250</x:v>
      </x:c>
      <x:c r="G18" s="95" t="n">
        <x:v>8.62068965517242</x:v>
      </x:c>
    </x:row>
    <x:row r="19" s="39" customFormat="1" ht="15" customHeight="1">
      <x:c r="A19" s="93" t="inlineStr">
        <x:is>
          <x:t xml:space="preserve">Reels</x:t>
        </x:is>
      </x:c>
      <x:c r="B19" s="94" t="n">
        <x:v>17</x:v>
      </x:c>
      <x:c r="C19" s="94" t="n">
        <x:v>452</x:v>
      </x:c>
      <x:c r="D19" s="94" t="n">
        <x:v>43</x:v>
      </x:c>
      <x:c r="E19" s="94" t="n">
        <x:v>18398</x:v>
      </x:c>
      <x:c r="F19" s="94" t="n">
        <x:v>495</x:v>
      </x:c>
      <x:c r="G19" s="95" t="n">
        <x:v>29.1176470588235</x:v>
      </x:c>
    </x:row>
    <x:row r="23" s="39" customFormat="1" ht="19.700000762939453" customHeight="1">
      <x:c r="A23" s="85" t="inlineStr">
        <x:is>
          <x:t xml:space="preserve">Resumo mensal</x:t>
        </x:is>
      </x:c>
    </x:row>
    <x:row r="24" s="39" customFormat="1" ht="15" customHeight="1">
      <x:c r="A24" s="86" t="inlineStr">
        <x:is>
          <x:t xml:space="preserve">month</x:t>
        </x:is>
      </x:c>
      <x:c r="B24" s="86" t="inlineStr">
        <x:is>
          <x:t xml:space="preserve">posts</x:t>
        </x:is>
      </x:c>
      <x:c r="C24" s="86" t="inlineStr">
        <x:is>
          <x:t xml:space="preserve">likes</x:t>
        </x:is>
      </x:c>
      <x:c r="D24" s="86" t="inlineStr">
        <x:is>
          <x:t xml:space="preserve">comments</x:t>
        </x:is>
      </x:c>
      <x:c r="E24" s="86" t="inlineStr">
        <x:is>
          <x:t xml:space="preserve">views</x:t>
        </x:is>
      </x:c>
      <x:c r="F24" s="86" t="inlineStr">
        <x:is>
          <x:t xml:space="preserve">engajamento_total</x:t>
        </x:is>
      </x:c>
      <x:c r="G24" s="86" t="inlineStr">
        <x:is>
          <x:t xml:space="preserve">engajamento_medio</x:t>
        </x:is>
      </x:c>
    </x:row>
    <x:row r="25" s="39" customFormat="1" ht="15" customHeight="1">
      <x:c r="A25" s="93" t="inlineStr">
        <x:is>
          <x:t xml:space="preserve">2026-01</x:t>
        </x:is>
      </x:c>
      <x:c r="B25" s="94" t="n">
        <x:v>1</x:v>
      </x:c>
      <x:c r="C25" s="94" t="n">
        <x:v>3</x:v>
      </x:c>
      <x:c r="D25" s="94" t="n">
        <x:v>13</x:v>
      </x:c>
      <x:c r="E25" s="94" t="n">
        <x:v>0</x:v>
      </x:c>
      <x:c r="F25" s="94" t="n">
        <x:v>16</x:v>
      </x:c>
      <x:c r="G25" s="95" t="n">
        <x:v>16</x:v>
      </x:c>
    </x:row>
    <x:row r="26" s="39" customFormat="1" ht="15" customHeight="1">
      <x:c r="A26" s="93" t="inlineStr">
        <x:is>
          <x:t xml:space="preserve">2026-02</x:t>
        </x:is>
      </x:c>
      <x:c r="B26" s="94" t="n">
        <x:v>19</x:v>
      </x:c>
      <x:c r="C26" s="94" t="n">
        <x:v>694</x:v>
      </x:c>
      <x:c r="D26" s="94" t="n">
        <x:v>62</x:v>
      </x:c>
      <x:c r="E26" s="94" t="n">
        <x:v>5303</x:v>
      </x:c>
      <x:c r="F26" s="94" t="n">
        <x:v>756</x:v>
      </x:c>
      <x:c r="G26" s="95" t="n">
        <x:v>39.7894736842105</x:v>
      </x:c>
    </x:row>
    <x:row r="27" s="39" customFormat="1" ht="15" customHeight="1">
      <x:c r="A27" s="93" t="inlineStr">
        <x:is>
          <x:t xml:space="preserve">2026-03</x:t>
        </x:is>
      </x:c>
      <x:c r="B27" s="94" t="n">
        <x:v>50</x:v>
      </x:c>
      <x:c r="C27" s="94" t="n">
        <x:v>496</x:v>
      </x:c>
      <x:c r="D27" s="94" t="n">
        <x:v>148</x:v>
      </x:c>
      <x:c r="E27" s="94" t="n">
        <x:v>8733</x:v>
      </x:c>
      <x:c r="F27" s="94" t="n">
        <x:v>644</x:v>
      </x:c>
      <x:c r="G27" s="95" t="n">
        <x:v>12.88</x:v>
      </x:c>
    </x:row>
    <x:row r="28" s="39" customFormat="1" ht="15" customHeight="1">
      <x:c r="A28" s="93" t="inlineStr">
        <x:is>
          <x:t xml:space="preserve">2026-04</x:t>
        </x:is>
      </x:c>
      <x:c r="B28" s="94" t="n">
        <x:v>14</x:v>
      </x:c>
      <x:c r="C28" s="94" t="n">
        <x:v>556</x:v>
      </x:c>
      <x:c r="D28" s="94" t="n">
        <x:v>25</x:v>
      </x:c>
      <x:c r="E28" s="94" t="n">
        <x:v>4362</x:v>
      </x:c>
      <x:c r="F28" s="94" t="n">
        <x:v>581</x:v>
      </x:c>
      <x:c r="G28" s="95" t="n">
        <x:v>41.5</x:v>
      </x:c>
    </x:row>
  </x:sheetData>
  <x:pageMargins left="0.7" right="0.7" top="0.75" bottom="0.75" header="0.3" footer="0.3"/>
</x:worksheet>
</file>