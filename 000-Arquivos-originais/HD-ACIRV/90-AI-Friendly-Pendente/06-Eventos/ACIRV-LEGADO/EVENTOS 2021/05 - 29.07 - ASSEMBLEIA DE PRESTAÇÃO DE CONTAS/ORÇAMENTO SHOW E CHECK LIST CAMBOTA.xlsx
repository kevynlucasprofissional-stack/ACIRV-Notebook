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dia\Desktop\"/>
    </mc:Choice>
  </mc:AlternateContent>
  <xr:revisionPtr revIDLastSave="0" documentId="13_ncr:1_{8AE34A5B-682A-491B-8372-C8E143D27EBB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ORÇAMENTO CUSTO" sheetId="1" r:id="rId1"/>
    <sheet name="CHECK LIST" sheetId="3" r:id="rId2"/>
    <sheet name="ESCALA" sheetId="4" r:id="rId3"/>
    <sheet name="FECHAMENTO" sheetId="2" r:id="rId4"/>
  </sheets>
  <definedNames>
    <definedName name="_xlnm.Print_Area" localSheetId="0">'ORÇAMENTO CUSTO'!$A$1:$E$43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C40" i="1" l="1"/>
  <c r="C31" i="1"/>
  <c r="C26" i="1"/>
  <c r="C19" i="1"/>
  <c r="C15" i="1"/>
  <c r="F10" i="2"/>
  <c r="F14" i="2" s="1"/>
  <c r="B3" i="1" l="1"/>
</calcChain>
</file>

<file path=xl/sharedStrings.xml><?xml version="1.0" encoding="utf-8"?>
<sst xmlns="http://schemas.openxmlformats.org/spreadsheetml/2006/main" count="162" uniqueCount="103">
  <si>
    <t xml:space="preserve">CUSTOS </t>
  </si>
  <si>
    <t xml:space="preserve">OBSERVAÇÕES </t>
  </si>
  <si>
    <t>TOTAL</t>
  </si>
  <si>
    <t>LOCAÇÃO ESPAÇO</t>
  </si>
  <si>
    <t>FOTOS E VÍDEOS</t>
  </si>
  <si>
    <t>EQUIPAMENTOS DE ÁUDIO</t>
  </si>
  <si>
    <t>Material limpeza geral</t>
  </si>
  <si>
    <t xml:space="preserve">PRESTAÇÃO DE SERVIÇOS/ OUTROS </t>
  </si>
  <si>
    <t>COMUNICAÇÃO/DIVULGAÇÃO</t>
  </si>
  <si>
    <t>EXATA</t>
  </si>
  <si>
    <t>Auxiliar de Limpeza (1)</t>
  </si>
  <si>
    <t>RECEITA VENDA DE INGRESSOS:</t>
  </si>
  <si>
    <t>RECEITA COM PATROCINIOS:</t>
  </si>
  <si>
    <t xml:space="preserve">DESPESA EVENTO: </t>
  </si>
  <si>
    <t xml:space="preserve">RECEITA TOTAL: </t>
  </si>
  <si>
    <t xml:space="preserve">PERMUTA MÍDIA: </t>
  </si>
  <si>
    <t xml:space="preserve">PERMUTA OUTROS: </t>
  </si>
  <si>
    <t>INFORMAÇÕES COMPLEMENTARES</t>
  </si>
  <si>
    <t>RESULTADO LÍQUIDO:</t>
  </si>
  <si>
    <t>SHOW- FABIANO CAMBOTA</t>
  </si>
  <si>
    <t xml:space="preserve">Humorista Fabiano Cambota + (Traslado aéreo e terrestre) </t>
  </si>
  <si>
    <t>HUMORISTA</t>
  </si>
  <si>
    <t xml:space="preserve">SENAC Rio Verde </t>
  </si>
  <si>
    <t>Parceria/ Apoio</t>
  </si>
  <si>
    <t xml:space="preserve">Fotos/Filmagem </t>
  </si>
  <si>
    <t>Post de divulgação</t>
  </si>
  <si>
    <t xml:space="preserve">Agência </t>
  </si>
  <si>
    <t>Midia Kit Patrocinador</t>
  </si>
  <si>
    <t>Cerimonialista</t>
  </si>
  <si>
    <t>Hugo Ataídes</t>
  </si>
  <si>
    <t>Lona Backdrop</t>
  </si>
  <si>
    <t>Painel de Led / Operador / TV/ Estrutura Back Droup</t>
  </si>
  <si>
    <t>Com o painel de Led, não será necessário decoração</t>
  </si>
  <si>
    <t>Forração Palco/camarim</t>
  </si>
  <si>
    <t>Locação Freezer</t>
  </si>
  <si>
    <t>2ª sessao Show</t>
  </si>
  <si>
    <t xml:space="preserve">Água Mineral de copo (500 unidades) </t>
  </si>
  <si>
    <t xml:space="preserve">Brigadista de Incendio </t>
  </si>
  <si>
    <t>Segurança (1)</t>
  </si>
  <si>
    <t>Não é necessário</t>
  </si>
  <si>
    <t>TOTAL DE PESSOAS</t>
  </si>
  <si>
    <t>EVENTO GRATUITO</t>
  </si>
  <si>
    <t>FECHAMENTO SHOW FABIANO CAMBOTA</t>
  </si>
  <si>
    <t>Descrição de Atividades</t>
  </si>
  <si>
    <t xml:space="preserve">RESPONSÁVEL </t>
  </si>
  <si>
    <t>STATUS</t>
  </si>
  <si>
    <t>OBSERVAÇÃO</t>
  </si>
  <si>
    <t>OK</t>
  </si>
  <si>
    <t>PENDENTE</t>
  </si>
  <si>
    <t>Fotografo</t>
  </si>
  <si>
    <t>Filmagem do evento</t>
  </si>
  <si>
    <t>Cerimonial ( Texto)</t>
  </si>
  <si>
    <t>EM ANDAMENTO</t>
  </si>
  <si>
    <t>Comunicado aos convidados COVID-19</t>
  </si>
  <si>
    <t xml:space="preserve">PENDENTE </t>
  </si>
  <si>
    <t>Som, áudio, painel de led, luzes, pupito</t>
  </si>
  <si>
    <t xml:space="preserve">Teste de som, e video </t>
  </si>
  <si>
    <t xml:space="preserve">VERIFICAR NO DIA DO EVENTO </t>
  </si>
  <si>
    <t>TESTE DE SOM/VIDEO/ TEXTO/ FOTO/FILM</t>
  </si>
  <si>
    <t>TESTAR PELA MANHÃ</t>
  </si>
  <si>
    <t xml:space="preserve">Video Acirv </t>
  </si>
  <si>
    <t xml:space="preserve">Arte convite Assembleia Digital </t>
  </si>
  <si>
    <t>Edital de Convocação/ Divulgação</t>
  </si>
  <si>
    <t>MARIANA/LIDIA/GEORDANNA</t>
  </si>
  <si>
    <t>video clipe de 30 segundos</t>
  </si>
  <si>
    <t>5.000,00 INVIÁVEL</t>
  </si>
  <si>
    <t>Incluso orçamento Aplauso</t>
  </si>
  <si>
    <t>Permuta(430,00)</t>
  </si>
  <si>
    <t>Hospedagem - Hotel Bons Tempos/ Alimentação</t>
  </si>
  <si>
    <t xml:space="preserve">Camarim </t>
  </si>
  <si>
    <t>COTA DE PATROCINIO - APLAUSO (5.150,00)</t>
  </si>
  <si>
    <t>SUGESTÃO: PASAR VIDEO POSSE</t>
  </si>
  <si>
    <t>EXATA- Limpeza antes e durante o evento</t>
  </si>
  <si>
    <t xml:space="preserve">Envio de Logomarcas para Aplauso </t>
  </si>
  <si>
    <t>Envio de Videos Patrocinadores- Aplauso</t>
  </si>
  <si>
    <t>Arte - Lona para Fotos/Back drop</t>
  </si>
  <si>
    <t xml:space="preserve">Crachás Acirvets </t>
  </si>
  <si>
    <t>LIDIA</t>
  </si>
  <si>
    <t>LIDIA/RAKILANDIA</t>
  </si>
  <si>
    <t xml:space="preserve">Complementação Edital </t>
  </si>
  <si>
    <t>LIDIA/ GEORDANNA</t>
  </si>
  <si>
    <t xml:space="preserve">LIDIA/ MARIANA </t>
  </si>
  <si>
    <t>MARIANA/LIDIA</t>
  </si>
  <si>
    <t>ADESIVO ACIRV para Pupito</t>
  </si>
  <si>
    <t>LEMBRAR DE PREGAR</t>
  </si>
  <si>
    <t>Roteiro Evento/Programação</t>
  </si>
  <si>
    <t>LIDIA/ VANESSA</t>
  </si>
  <si>
    <t>EVENTO GERAL</t>
  </si>
  <si>
    <t xml:space="preserve">MATERIAL APOIO/LIMPEZA/ NORMAS COVID </t>
  </si>
  <si>
    <t>Não será necessário</t>
  </si>
  <si>
    <t>ATRIBUIÇÕES DE ATIVIDADES- ASSEMBLEIA ACIRV/ SHOW CAMBOTA</t>
  </si>
  <si>
    <t>SLIDES PROGRAMAÇÃO</t>
  </si>
  <si>
    <t>MARIANA/ LIDIA</t>
  </si>
  <si>
    <t>SUPORTE EM CIMA DO PALCO/ VIDEOS/ PATROCINADORES/ PRESIDENTE/ LIMPEZA MICROFONE)</t>
  </si>
  <si>
    <t xml:space="preserve">Limpeza do auditorio no dia seguinte </t>
  </si>
  <si>
    <t xml:space="preserve">Lista de Patrocinadores que irão falar no palco </t>
  </si>
  <si>
    <t>EM PRODUÇÃO</t>
  </si>
  <si>
    <t>SOLICITADO</t>
  </si>
  <si>
    <t>RAKI VAI SOLICITAR</t>
  </si>
  <si>
    <t>Backdrop</t>
  </si>
  <si>
    <t>Logo Tropical na Márcia</t>
  </si>
  <si>
    <t>Corrigir cerimonial</t>
  </si>
  <si>
    <t>Correções no 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</si>
</sst>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66C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2">
    <xf numFmtId="0" fontId="0" fillId="0" borderId="0" xfId="0"/>
    <xf numFmtId="44" fontId="0" fillId="0" borderId="0" xfId="1" applyFont="1"/>
    <xf numFmtId="14" fontId="0" fillId="0" borderId="0" xfId="0" applyNumberFormat="1"/>
    <xf numFmtId="20" fontId="0" fillId="0" borderId="0" xfId="0" applyNumberFormat="1"/>
    <xf numFmtId="0" fontId="2" fillId="0" borderId="0" xfId="0" applyFont="1"/>
    <xf numFmtId="0" fontId="3" fillId="4" borderId="1" xfId="0" applyFont="1" applyFill="1" applyBorder="1" applyAlignment="1">
      <alignment horizontal="center"/>
    </xf>
    <xf numFmtId="44" fontId="3" fillId="4" borderId="1" xfId="1" applyFont="1" applyFill="1" applyBorder="1" applyAlignment="1">
      <alignment horizontal="center"/>
    </xf>
    <xf numFmtId="0" fontId="0" fillId="0" borderId="1" xfId="0" applyBorder="1"/>
    <xf numFmtId="44" fontId="0" fillId="0" borderId="1" xfId="1" applyFont="1" applyBorder="1"/>
    <xf numFmtId="0" fontId="2" fillId="3" borderId="1" xfId="0" applyFont="1" applyFill="1" applyBorder="1"/>
    <xf numFmtId="44" fontId="2" fillId="3" borderId="1" xfId="1" applyFont="1" applyFill="1" applyBorder="1"/>
    <xf numFmtId="0" fontId="2" fillId="4" borderId="1" xfId="0" applyFont="1" applyFill="1" applyBorder="1"/>
    <xf numFmtId="44" fontId="0" fillId="4" borderId="1" xfId="1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Font="1" applyBorder="1"/>
    <xf numFmtId="0" fontId="2" fillId="0" borderId="1" xfId="0" applyFont="1" applyBorder="1"/>
    <xf numFmtId="0" fontId="0" fillId="0" borderId="1" xfId="0" applyFill="1" applyBorder="1"/>
    <xf numFmtId="44" fontId="0" fillId="0" borderId="1" xfId="1" applyFont="1" applyFill="1" applyBorder="1"/>
    <xf numFmtId="0" fontId="4" fillId="0" borderId="0" xfId="0" applyFont="1" applyBorder="1" applyAlignment="1">
      <alignment vertical="center"/>
    </xf>
    <xf numFmtId="0" fontId="4" fillId="0" borderId="0" xfId="0" applyFont="1" applyBorder="1"/>
    <xf numFmtId="44" fontId="4" fillId="0" borderId="0" xfId="1" applyFont="1" applyBorder="1"/>
    <xf numFmtId="0" fontId="4" fillId="0" borderId="0" xfId="0" applyFont="1"/>
    <xf numFmtId="44" fontId="4" fillId="0" borderId="0" xfId="1" applyFont="1"/>
    <xf numFmtId="0" fontId="4" fillId="0" borderId="0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9" xfId="0" applyFont="1" applyBorder="1"/>
    <xf numFmtId="44" fontId="4" fillId="0" borderId="1" xfId="1" applyFont="1" applyBorder="1"/>
    <xf numFmtId="44" fontId="4" fillId="6" borderId="1" xfId="1" applyFont="1" applyFill="1" applyBorder="1"/>
    <xf numFmtId="44" fontId="4" fillId="7" borderId="1" xfId="1" applyFont="1" applyFill="1" applyBorder="1"/>
    <xf numFmtId="0" fontId="0" fillId="0" borderId="1" xfId="0" applyBorder="1" applyAlignment="1">
      <alignment wrapText="1"/>
    </xf>
    <xf numFmtId="0" fontId="0" fillId="8" borderId="1" xfId="0" applyFill="1" applyBorder="1"/>
    <xf numFmtId="0" fontId="4" fillId="0" borderId="1" xfId="0" applyFont="1" applyBorder="1"/>
    <xf numFmtId="0" fontId="6" fillId="0" borderId="1" xfId="0" applyFont="1" applyBorder="1" applyAlignment="1">
      <alignment vertical="center"/>
    </xf>
    <xf numFmtId="0" fontId="6" fillId="0" borderId="1" xfId="0" applyFont="1" applyBorder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44" fontId="0" fillId="5" borderId="1" xfId="1" applyFont="1" applyFill="1" applyBorder="1"/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1" xfId="0" applyFont="1" applyFill="1" applyBorder="1" applyAlignment="1">
      <alignment vertical="center"/>
    </xf>
    <xf numFmtId="0" fontId="10" fillId="0" borderId="0" xfId="0" applyFont="1" applyAlignment="1"/>
    <xf numFmtId="0" fontId="10" fillId="0" borderId="1" xfId="0" applyFont="1" applyBorder="1" applyAlignment="1"/>
    <xf numFmtId="0" fontId="9" fillId="0" borderId="0" xfId="0" applyFont="1" applyBorder="1" applyAlignment="1">
      <alignment vertical="center"/>
    </xf>
    <xf numFmtId="0" fontId="9" fillId="6" borderId="0" xfId="0" applyFont="1" applyFill="1" applyBorder="1" applyAlignment="1">
      <alignment vertical="center"/>
    </xf>
    <xf numFmtId="0" fontId="9" fillId="8" borderId="0" xfId="0" applyFont="1" applyFill="1" applyBorder="1" applyAlignment="1">
      <alignment vertical="center"/>
    </xf>
    <xf numFmtId="0" fontId="13" fillId="0" borderId="0" xfId="0" applyFont="1" applyAlignment="1">
      <alignment horizontal="justify" vertical="center"/>
    </xf>
    <xf numFmtId="0" fontId="0" fillId="0" borderId="1" xfId="0" applyBorder="1" applyAlignment="1"/>
    <xf numFmtId="0" fontId="2" fillId="2" borderId="1" xfId="0" applyFont="1" applyFill="1" applyBorder="1" applyAlignment="1">
      <alignment horizontal="center"/>
    </xf>
    <xf numFmtId="44" fontId="2" fillId="2" borderId="1" xfId="0" applyNumberFormat="1" applyFont="1" applyFill="1" applyBorder="1" applyAlignment="1"/>
    <xf numFmtId="0" fontId="2" fillId="2" borderId="1" xfId="0" applyFont="1" applyFill="1" applyBorder="1" applyAlignment="1"/>
    <xf numFmtId="0" fontId="11" fillId="10" borderId="2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1371599</xdr:colOff>
      <xdr:row>0</xdr:row>
      <xdr:rowOff>19050</xdr:rowOff>
    </xdr:from>
    <xdr:to>
      <xdr:col>1</xdr:col>
      <xdr:colOff>1304924</xdr:colOff>
      <xdr:row>0</xdr:row>
      <xdr:rowOff>733425</xdr:rowOff>
    </xdr:to>
    <xdr:pic>
      <xdr:nvPicPr>
        <xdr:cNvPr id="2" name="Imagem 1" descr="C:\Users\diretor\Desktop\NOVA LOGOMARCA\LOGOACIRV-01 - Cópia.png">
          <a:extLst>
            <a:ext uri="{FF2B5EF4-FFF2-40B4-BE49-F238E27FC236}">
              <a16:creationId xmlns:a16="http://schemas.microsoft.com/office/drawing/2014/main" id="{9217B12A-B15E-4F4F-87F0-FC6601B6877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599" y="19050"/>
          <a:ext cx="2428875" cy="714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40"/>
  <sheetViews>
    <sheetView topLeftCell="A16" zoomScaleNormal="100" workbookViewId="0">
      <selection activeCell="G14" sqref="G14"/>
    </sheetView>
  </sheetViews>
  <sheetFormatPr defaultRowHeight="14.4" x14ac:dyDescent="0.3"/>
  <cols>
    <col min="1" max="1" width="6.44140625" customWidth="1"/>
    <col min="2" max="2" width="61.44140625" customWidth="1"/>
    <col min="3" max="3" width="22.88671875" style="1" customWidth="1"/>
    <col min="4" max="4" width="40.44140625" customWidth="1"/>
    <col min="7" max="7" width="17.33203125" customWidth="1"/>
    <col min="8" max="8" width="12.88671875" customWidth="1"/>
  </cols>
  <sheetData>
    <row r="2" spans="2:8" x14ac:dyDescent="0.3">
      <c r="B2" s="56" t="s">
        <v>19</v>
      </c>
      <c r="C2" s="56"/>
      <c r="D2" s="56"/>
    </row>
    <row r="3" spans="2:8" x14ac:dyDescent="0.3">
      <c r="B3" s="57">
        <f>SUM(C10+C15+C19+C26+C31+C40)</f>
        <v>18060</v>
      </c>
      <c r="C3" s="58"/>
      <c r="D3" s="58"/>
    </row>
    <row r="4" spans="2:8" ht="5.0999999999999996" customHeight="1" x14ac:dyDescent="0.3">
      <c r="B4" s="55"/>
      <c r="C4" s="55"/>
      <c r="D4" s="55"/>
    </row>
    <row r="5" spans="2:8" x14ac:dyDescent="0.3">
      <c r="B5" s="5" t="s">
        <v>21</v>
      </c>
      <c r="C5" s="6" t="s">
        <v>0</v>
      </c>
      <c r="D5" s="5" t="s">
        <v>1</v>
      </c>
    </row>
    <row r="6" spans="2:8" x14ac:dyDescent="0.3">
      <c r="B6" s="7" t="s">
        <v>20</v>
      </c>
      <c r="C6" s="8">
        <v>11500</v>
      </c>
      <c r="D6" s="7"/>
    </row>
    <row r="7" spans="2:8" x14ac:dyDescent="0.3">
      <c r="B7" s="7" t="s">
        <v>68</v>
      </c>
      <c r="C7" s="8">
        <v>0</v>
      </c>
      <c r="D7" s="7" t="s">
        <v>67</v>
      </c>
    </row>
    <row r="8" spans="2:8" x14ac:dyDescent="0.3">
      <c r="B8" s="7" t="s">
        <v>69</v>
      </c>
      <c r="C8" s="8">
        <v>100</v>
      </c>
      <c r="D8" s="7"/>
    </row>
    <row r="9" spans="2:8" x14ac:dyDescent="0.3">
      <c r="B9" s="7" t="s">
        <v>35</v>
      </c>
      <c r="C9" s="8">
        <v>0</v>
      </c>
      <c r="D9" s="7" t="s">
        <v>65</v>
      </c>
    </row>
    <row r="10" spans="2:8" x14ac:dyDescent="0.3">
      <c r="B10" s="9" t="s">
        <v>2</v>
      </c>
      <c r="C10" s="10">
        <f>SUM(C6:C9)</f>
        <v>11600</v>
      </c>
      <c r="D10" s="7"/>
      <c r="G10" s="4"/>
      <c r="H10" s="2"/>
    </row>
    <row r="11" spans="2:8" ht="20.100000000000001" customHeight="1" x14ac:dyDescent="0.3">
      <c r="B11" s="55"/>
      <c r="C11" s="55"/>
      <c r="D11" s="55"/>
      <c r="G11" s="4"/>
    </row>
    <row r="12" spans="2:8" x14ac:dyDescent="0.3">
      <c r="B12" s="11" t="s">
        <v>3</v>
      </c>
      <c r="C12" s="12"/>
      <c r="D12" s="13"/>
      <c r="G12" s="4"/>
    </row>
    <row r="13" spans="2:8" x14ac:dyDescent="0.3">
      <c r="B13" s="7" t="s">
        <v>22</v>
      </c>
      <c r="C13" s="8">
        <v>0</v>
      </c>
      <c r="D13" s="7" t="s">
        <v>23</v>
      </c>
      <c r="G13" s="4"/>
      <c r="H13" s="3"/>
    </row>
    <row r="14" spans="2:8" x14ac:dyDescent="0.3">
      <c r="B14" s="17" t="s">
        <v>94</v>
      </c>
      <c r="C14" s="18">
        <v>0</v>
      </c>
      <c r="D14" s="17" t="s">
        <v>89</v>
      </c>
    </row>
    <row r="15" spans="2:8" x14ac:dyDescent="0.3">
      <c r="B15" s="9" t="s">
        <v>2</v>
      </c>
      <c r="C15" s="10">
        <f>SUM(C13:C14)</f>
        <v>0</v>
      </c>
      <c r="D15" s="14"/>
    </row>
    <row r="16" spans="2:8" ht="20.100000000000001" customHeight="1" x14ac:dyDescent="0.3">
      <c r="B16" s="55"/>
      <c r="C16" s="55"/>
      <c r="D16" s="55"/>
    </row>
    <row r="17" spans="2:4" x14ac:dyDescent="0.3">
      <c r="B17" s="11" t="s">
        <v>4</v>
      </c>
      <c r="C17" s="12"/>
      <c r="D17" s="13"/>
    </row>
    <row r="18" spans="2:4" x14ac:dyDescent="0.3">
      <c r="B18" s="7" t="s">
        <v>24</v>
      </c>
      <c r="C18" s="8">
        <v>2000</v>
      </c>
      <c r="D18" s="34" t="s">
        <v>64</v>
      </c>
    </row>
    <row r="19" spans="2:4" x14ac:dyDescent="0.3">
      <c r="B19" s="9" t="s">
        <v>2</v>
      </c>
      <c r="C19" s="10">
        <f>SUM(C18)</f>
        <v>2000</v>
      </c>
      <c r="D19" s="7"/>
    </row>
    <row r="20" spans="2:4" ht="20.100000000000001" customHeight="1" x14ac:dyDescent="0.3">
      <c r="B20" s="55"/>
      <c r="C20" s="55"/>
      <c r="D20" s="55"/>
    </row>
    <row r="21" spans="2:4" x14ac:dyDescent="0.3">
      <c r="B21" s="11" t="s">
        <v>8</v>
      </c>
      <c r="C21" s="12"/>
      <c r="D21" s="13"/>
    </row>
    <row r="22" spans="2:4" x14ac:dyDescent="0.3">
      <c r="B22" s="7" t="s">
        <v>25</v>
      </c>
      <c r="C22" s="8">
        <v>0</v>
      </c>
      <c r="D22" s="7" t="s">
        <v>26</v>
      </c>
    </row>
    <row r="23" spans="2:4" x14ac:dyDescent="0.3">
      <c r="B23" s="7" t="s">
        <v>27</v>
      </c>
      <c r="C23" s="8"/>
      <c r="D23" s="7" t="s">
        <v>26</v>
      </c>
    </row>
    <row r="24" spans="2:4" x14ac:dyDescent="0.3">
      <c r="B24" s="7" t="s">
        <v>28</v>
      </c>
      <c r="C24" s="8">
        <v>500</v>
      </c>
      <c r="D24" s="7" t="s">
        <v>29</v>
      </c>
    </row>
    <row r="25" spans="2:4" x14ac:dyDescent="0.3">
      <c r="B25" s="7" t="s">
        <v>30</v>
      </c>
      <c r="C25" s="8">
        <v>0</v>
      </c>
      <c r="D25" s="14" t="s">
        <v>66</v>
      </c>
    </row>
    <row r="26" spans="2:4" x14ac:dyDescent="0.3">
      <c r="B26" s="9" t="s">
        <v>2</v>
      </c>
      <c r="C26" s="10">
        <f>SUM(C22:C25)</f>
        <v>500</v>
      </c>
      <c r="D26" s="7"/>
    </row>
    <row r="27" spans="2:4" ht="20.100000000000001" customHeight="1" x14ac:dyDescent="0.3">
      <c r="B27" s="55"/>
      <c r="C27" s="55"/>
      <c r="D27" s="55"/>
    </row>
    <row r="28" spans="2:4" x14ac:dyDescent="0.3">
      <c r="B28" s="11" t="s">
        <v>5</v>
      </c>
      <c r="C28" s="12"/>
      <c r="D28" s="13"/>
    </row>
    <row r="29" spans="2:4" x14ac:dyDescent="0.3">
      <c r="B29" s="7" t="s">
        <v>31</v>
      </c>
      <c r="C29" s="8">
        <v>3150</v>
      </c>
      <c r="D29" s="7" t="s">
        <v>70</v>
      </c>
    </row>
    <row r="30" spans="2:4" ht="28.8" x14ac:dyDescent="0.3">
      <c r="B30" s="7" t="s">
        <v>33</v>
      </c>
      <c r="C30" s="8">
        <v>0</v>
      </c>
      <c r="D30" s="33" t="s">
        <v>32</v>
      </c>
    </row>
    <row r="31" spans="2:4" x14ac:dyDescent="0.3">
      <c r="B31" s="9" t="s">
        <v>2</v>
      </c>
      <c r="C31" s="10">
        <f>SUM(C29:C30)</f>
        <v>3150</v>
      </c>
      <c r="D31" s="7"/>
    </row>
    <row r="32" spans="2:4" ht="20.100000000000001" customHeight="1" x14ac:dyDescent="0.3">
      <c r="B32" s="55"/>
      <c r="C32" s="55"/>
      <c r="D32" s="55"/>
    </row>
    <row r="33" spans="2:4" x14ac:dyDescent="0.3">
      <c r="B33" s="11" t="s">
        <v>7</v>
      </c>
      <c r="C33" s="12"/>
      <c r="D33" s="13"/>
    </row>
    <row r="34" spans="2:4" x14ac:dyDescent="0.3">
      <c r="B34" s="7" t="s">
        <v>34</v>
      </c>
      <c r="C34" s="8">
        <v>80</v>
      </c>
      <c r="D34" s="7"/>
    </row>
    <row r="35" spans="2:4" x14ac:dyDescent="0.3">
      <c r="B35" s="7" t="s">
        <v>36</v>
      </c>
      <c r="C35" s="8">
        <v>260</v>
      </c>
      <c r="D35" s="7"/>
    </row>
    <row r="36" spans="2:4" x14ac:dyDescent="0.3">
      <c r="B36" s="7" t="s">
        <v>6</v>
      </c>
      <c r="C36" s="8">
        <v>150</v>
      </c>
      <c r="D36" s="16"/>
    </row>
    <row r="37" spans="2:4" x14ac:dyDescent="0.3">
      <c r="B37" s="7" t="s">
        <v>10</v>
      </c>
      <c r="C37" s="42">
        <v>130</v>
      </c>
      <c r="D37" s="7" t="s">
        <v>72</v>
      </c>
    </row>
    <row r="38" spans="2:4" x14ac:dyDescent="0.3">
      <c r="B38" s="15" t="s">
        <v>38</v>
      </c>
      <c r="C38" s="42">
        <v>190</v>
      </c>
      <c r="D38" s="7" t="s">
        <v>9</v>
      </c>
    </row>
    <row r="39" spans="2:4" x14ac:dyDescent="0.3">
      <c r="B39" s="15" t="s">
        <v>37</v>
      </c>
      <c r="C39" s="8">
        <v>0</v>
      </c>
      <c r="D39" s="7" t="s">
        <v>39</v>
      </c>
    </row>
    <row r="40" spans="2:4" x14ac:dyDescent="0.3">
      <c r="B40" s="9" t="s">
        <v>2</v>
      </c>
      <c r="C40" s="10">
        <f>SUM(C34:C39)</f>
        <v>810</v>
      </c>
      <c r="D40" s="7"/>
    </row>
  </sheetData>
  <mergeCells count="8">
    <mergeCell ref="B20:D20"/>
    <mergeCell ref="B27:D27"/>
    <mergeCell ref="B32:D32"/>
    <mergeCell ref="B2:D2"/>
    <mergeCell ref="B3:D3"/>
    <mergeCell ref="B4:D4"/>
    <mergeCell ref="B11:D11"/>
    <mergeCell ref="B16:D16"/>
  </mergeCells>
  <pageMargins left="0.51181102362204722" right="0.51181102362204722" top="0.78740157480314965" bottom="0.78740157480314965" header="0.31496062992125984" footer="0.31496062992125984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69709-8423-4E04-8BCC-4B42D6767A8E}">
  <dimension ref="B2:I28"/>
  <sheetViews>
    <sheetView showGridLines="0" tabSelected="1" topLeftCell="E1" zoomScaleNormal="100" workbookViewId="0">
      <selection activeCell="N19" sqref="N19"/>
    </sheetView>
  </sheetViews>
  <sheetFormatPr defaultRowHeight="13.8" x14ac:dyDescent="0.25"/>
  <cols>
    <col min="1" max="1" width="3.44140625" style="49" customWidth="1"/>
    <col min="2" max="2" width="43.77734375" style="49" customWidth="1"/>
    <col min="3" max="3" width="32.33203125" style="49" customWidth="1"/>
    <col min="4" max="4" width="22.44140625" style="46" customWidth="1"/>
    <col min="5" max="5" width="34.77734375" style="49" customWidth="1"/>
    <col min="6" max="7" width="8.88671875" style="49"/>
    <col min="8" max="8" width="45.6640625" style="49" customWidth="1"/>
    <col min="9" max="16384" width="8.88671875" style="49"/>
  </cols>
  <sheetData>
    <row r="2" spans="2:9" x14ac:dyDescent="0.25">
      <c r="B2" s="44" t="s">
        <v>43</v>
      </c>
      <c r="C2" s="44" t="s">
        <v>44</v>
      </c>
      <c r="D2" s="45" t="s">
        <v>45</v>
      </c>
      <c r="E2" s="45" t="s">
        <v>46</v>
      </c>
    </row>
    <row r="3" spans="2:9" x14ac:dyDescent="0.25">
      <c r="B3" s="40" t="s">
        <v>62</v>
      </c>
      <c r="C3" s="40" t="s">
        <v>63</v>
      </c>
      <c r="D3" s="47" t="s">
        <v>47</v>
      </c>
      <c r="E3" s="50"/>
    </row>
    <row r="4" spans="2:9" x14ac:dyDescent="0.25">
      <c r="B4" s="40" t="s">
        <v>79</v>
      </c>
      <c r="C4" s="40" t="s">
        <v>63</v>
      </c>
      <c r="D4" s="47" t="s">
        <v>47</v>
      </c>
      <c r="E4" s="50"/>
      <c r="H4" s="51" t="s">
        <v>61</v>
      </c>
      <c r="I4" s="49" t="s">
        <v>96</v>
      </c>
    </row>
    <row r="5" spans="2:9" x14ac:dyDescent="0.25">
      <c r="B5" s="40" t="s">
        <v>61</v>
      </c>
      <c r="C5" s="40" t="s">
        <v>80</v>
      </c>
      <c r="D5" s="47" t="s">
        <v>52</v>
      </c>
      <c r="E5" s="50"/>
      <c r="H5" s="71" t="s">
        <v>53</v>
      </c>
    </row>
    <row r="6" spans="2:9" x14ac:dyDescent="0.25">
      <c r="B6" s="48" t="s">
        <v>53</v>
      </c>
      <c r="C6" s="40" t="s">
        <v>77</v>
      </c>
      <c r="D6" s="47" t="s">
        <v>54</v>
      </c>
      <c r="E6" s="50"/>
      <c r="H6" s="51" t="s">
        <v>49</v>
      </c>
      <c r="I6" s="49" t="s">
        <v>97</v>
      </c>
    </row>
    <row r="7" spans="2:9" ht="17.25" customHeight="1" x14ac:dyDescent="0.25">
      <c r="B7" s="59" t="s">
        <v>87</v>
      </c>
      <c r="C7" s="60"/>
      <c r="D7" s="60"/>
      <c r="E7" s="61"/>
      <c r="H7" s="51" t="s">
        <v>50</v>
      </c>
      <c r="I7" s="49" t="s">
        <v>97</v>
      </c>
    </row>
    <row r="8" spans="2:9" x14ac:dyDescent="0.25">
      <c r="B8" s="40" t="s">
        <v>49</v>
      </c>
      <c r="C8" s="40" t="s">
        <v>77</v>
      </c>
      <c r="D8" s="47" t="s">
        <v>48</v>
      </c>
      <c r="E8" s="50"/>
      <c r="H8" s="52" t="s">
        <v>60</v>
      </c>
    </row>
    <row r="9" spans="2:9" x14ac:dyDescent="0.25">
      <c r="B9" s="40" t="s">
        <v>50</v>
      </c>
      <c r="C9" s="40" t="s">
        <v>77</v>
      </c>
      <c r="D9" s="47" t="s">
        <v>48</v>
      </c>
      <c r="E9" s="50"/>
      <c r="H9" s="51" t="s">
        <v>51</v>
      </c>
    </row>
    <row r="10" spans="2:9" x14ac:dyDescent="0.25">
      <c r="B10" s="40" t="s">
        <v>60</v>
      </c>
      <c r="C10" s="40" t="s">
        <v>77</v>
      </c>
      <c r="D10" s="47" t="s">
        <v>48</v>
      </c>
      <c r="E10" s="50" t="s">
        <v>71</v>
      </c>
      <c r="H10" s="71" t="s">
        <v>73</v>
      </c>
    </row>
    <row r="11" spans="2:9" x14ac:dyDescent="0.25">
      <c r="B11" s="40" t="s">
        <v>51</v>
      </c>
      <c r="C11" s="40" t="s">
        <v>77</v>
      </c>
      <c r="D11" s="47" t="s">
        <v>48</v>
      </c>
      <c r="E11" s="50"/>
      <c r="H11" s="52" t="s">
        <v>74</v>
      </c>
      <c r="I11" s="49" t="s">
        <v>98</v>
      </c>
    </row>
    <row r="12" spans="2:9" x14ac:dyDescent="0.25">
      <c r="B12" s="40" t="s">
        <v>85</v>
      </c>
      <c r="C12" s="40" t="s">
        <v>82</v>
      </c>
      <c r="D12" s="47"/>
      <c r="E12" s="50"/>
      <c r="H12" s="51" t="s">
        <v>95</v>
      </c>
      <c r="I12" s="49" t="s">
        <v>98</v>
      </c>
    </row>
    <row r="13" spans="2:9" x14ac:dyDescent="0.25">
      <c r="B13" s="40" t="s">
        <v>73</v>
      </c>
      <c r="C13" s="40" t="s">
        <v>78</v>
      </c>
      <c r="D13" s="47" t="s">
        <v>48</v>
      </c>
      <c r="E13" s="50"/>
      <c r="H13" s="71" t="s">
        <v>75</v>
      </c>
    </row>
    <row r="14" spans="2:9" x14ac:dyDescent="0.25">
      <c r="B14" s="40" t="s">
        <v>74</v>
      </c>
      <c r="C14" s="40" t="s">
        <v>78</v>
      </c>
      <c r="D14" s="47" t="s">
        <v>48</v>
      </c>
      <c r="E14" s="50"/>
      <c r="H14" s="53" t="s">
        <v>83</v>
      </c>
    </row>
    <row r="15" spans="2:9" x14ac:dyDescent="0.25">
      <c r="B15" s="40" t="s">
        <v>95</v>
      </c>
      <c r="C15" s="40" t="s">
        <v>78</v>
      </c>
      <c r="D15" s="47" t="s">
        <v>48</v>
      </c>
      <c r="E15" s="50"/>
      <c r="H15" s="53" t="s">
        <v>58</v>
      </c>
    </row>
    <row r="16" spans="2:9" x14ac:dyDescent="0.25">
      <c r="B16" s="40" t="s">
        <v>75</v>
      </c>
      <c r="C16" s="40" t="s">
        <v>81</v>
      </c>
      <c r="D16" s="47" t="s">
        <v>48</v>
      </c>
      <c r="E16" s="50"/>
      <c r="H16" s="53" t="s">
        <v>76</v>
      </c>
      <c r="I16" s="49" t="s">
        <v>96</v>
      </c>
    </row>
    <row r="17" spans="2:8" x14ac:dyDescent="0.25">
      <c r="B17" s="40" t="s">
        <v>83</v>
      </c>
      <c r="C17" s="40" t="s">
        <v>86</v>
      </c>
      <c r="D17" s="47" t="s">
        <v>48</v>
      </c>
      <c r="E17" s="50" t="s">
        <v>84</v>
      </c>
    </row>
    <row r="18" spans="2:8" x14ac:dyDescent="0.25">
      <c r="B18" s="40" t="s">
        <v>55</v>
      </c>
      <c r="C18" s="40" t="s">
        <v>82</v>
      </c>
      <c r="D18" s="47" t="s">
        <v>52</v>
      </c>
      <c r="E18" s="50"/>
    </row>
    <row r="19" spans="2:8" ht="15" x14ac:dyDescent="0.25">
      <c r="B19" s="40" t="s">
        <v>56</v>
      </c>
      <c r="C19" s="40" t="s">
        <v>77</v>
      </c>
      <c r="D19" s="47" t="s">
        <v>48</v>
      </c>
      <c r="E19" s="50" t="s">
        <v>57</v>
      </c>
      <c r="H19" s="54"/>
    </row>
    <row r="20" spans="2:8" ht="16.5" customHeight="1" x14ac:dyDescent="0.25">
      <c r="B20" s="59" t="s">
        <v>88</v>
      </c>
      <c r="C20" s="60"/>
      <c r="D20" s="60"/>
      <c r="E20" s="61"/>
      <c r="H20" s="54"/>
    </row>
    <row r="21" spans="2:8" ht="15" x14ac:dyDescent="0.25">
      <c r="B21" s="40" t="s">
        <v>76</v>
      </c>
      <c r="C21" s="40" t="s">
        <v>77</v>
      </c>
      <c r="D21" s="47" t="s">
        <v>48</v>
      </c>
      <c r="E21" s="50"/>
      <c r="H21" s="54"/>
    </row>
    <row r="22" spans="2:8" ht="15" x14ac:dyDescent="0.25">
      <c r="H22" s="54" t="s">
        <v>99</v>
      </c>
    </row>
    <row r="23" spans="2:8" ht="15" x14ac:dyDescent="0.25">
      <c r="H23" s="54" t="s">
        <v>100</v>
      </c>
    </row>
    <row r="24" spans="2:8" ht="15" x14ac:dyDescent="0.25">
      <c r="B24" s="43" t="s">
        <v>43</v>
      </c>
      <c r="C24" s="43" t="s">
        <v>44</v>
      </c>
      <c r="D24" s="45" t="s">
        <v>46</v>
      </c>
      <c r="H24" s="54" t="s">
        <v>101</v>
      </c>
    </row>
    <row r="25" spans="2:8" ht="15" x14ac:dyDescent="0.25">
      <c r="B25" s="40" t="s">
        <v>91</v>
      </c>
      <c r="C25" s="40" t="s">
        <v>92</v>
      </c>
      <c r="D25" s="47"/>
      <c r="H25" s="54" t="s">
        <v>102</v>
      </c>
    </row>
    <row r="26" spans="2:8" ht="15" x14ac:dyDescent="0.25">
      <c r="B26" s="40" t="s">
        <v>58</v>
      </c>
      <c r="C26" s="40" t="s">
        <v>81</v>
      </c>
      <c r="D26" s="47" t="s">
        <v>59</v>
      </c>
      <c r="H26" s="54"/>
    </row>
    <row r="27" spans="2:8" ht="41.4" x14ac:dyDescent="0.25">
      <c r="B27" s="41" t="s">
        <v>93</v>
      </c>
      <c r="C27" s="40" t="s">
        <v>77</v>
      </c>
      <c r="D27" s="47"/>
      <c r="H27" s="54"/>
    </row>
    <row r="28" spans="2:8" ht="15" x14ac:dyDescent="0.25">
      <c r="H28" s="54"/>
    </row>
  </sheetData>
  <mergeCells count="2">
    <mergeCell ref="B7:E7"/>
    <mergeCell ref="B20:E20"/>
  </mergeCells>
  <pageMargins left="0.511811024" right="0.511811024" top="0.78740157499999996" bottom="0.78740157499999996" header="0.31496062000000002" footer="0.31496062000000002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874B-FE0F-4208-8FFD-70AFDBB8EF33}">
  <dimension ref="A1:C6"/>
  <sheetViews>
    <sheetView workbookViewId="0">
      <selection activeCell="A3" sqref="A3:C6"/>
    </sheetView>
  </sheetViews>
  <sheetFormatPr defaultRowHeight="14.4" x14ac:dyDescent="0.3"/>
  <cols>
    <col min="1" max="1" width="37.44140625" customWidth="1"/>
    <col min="2" max="2" width="22.88671875" customWidth="1"/>
    <col min="3" max="3" width="20.5546875" customWidth="1"/>
  </cols>
  <sheetData>
    <row r="1" spans="1:3" ht="62.25" customHeight="1" x14ac:dyDescent="0.3"/>
    <row r="2" spans="1:3" ht="18" x14ac:dyDescent="0.3">
      <c r="A2" s="62" t="s">
        <v>90</v>
      </c>
      <c r="B2" s="63"/>
      <c r="C2" s="64"/>
    </row>
    <row r="3" spans="1:3" ht="15.6" x14ac:dyDescent="0.3">
      <c r="A3" s="36" t="s">
        <v>43</v>
      </c>
      <c r="B3" s="36" t="s">
        <v>44</v>
      </c>
      <c r="C3" s="37" t="s">
        <v>46</v>
      </c>
    </row>
    <row r="4" spans="1:3" ht="23.25" customHeight="1" x14ac:dyDescent="0.3">
      <c r="A4" s="38" t="s">
        <v>91</v>
      </c>
      <c r="B4" s="38" t="s">
        <v>92</v>
      </c>
      <c r="C4" s="33"/>
    </row>
    <row r="5" spans="1:3" x14ac:dyDescent="0.3">
      <c r="A5" s="38" t="s">
        <v>58</v>
      </c>
      <c r="B5" s="38" t="s">
        <v>81</v>
      </c>
      <c r="C5" s="33" t="s">
        <v>59</v>
      </c>
    </row>
    <row r="6" spans="1:3" ht="43.2" x14ac:dyDescent="0.3">
      <c r="A6" s="39" t="s">
        <v>93</v>
      </c>
      <c r="B6" s="38" t="s">
        <v>77</v>
      </c>
      <c r="C6" s="33"/>
    </row>
  </sheetData>
  <mergeCells count="1">
    <mergeCell ref="A2:C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F24"/>
  <sheetViews>
    <sheetView workbookViewId="0">
      <selection activeCell="H10" sqref="H10"/>
    </sheetView>
  </sheetViews>
  <sheetFormatPr defaultRowHeight="14.4" x14ac:dyDescent="0.3"/>
  <cols>
    <col min="5" max="5" width="27.88671875" customWidth="1"/>
    <col min="6" max="6" width="17.5546875" bestFit="1" customWidth="1"/>
  </cols>
  <sheetData>
    <row r="3" spans="3:6" ht="17.399999999999999" x14ac:dyDescent="0.3">
      <c r="C3" s="67" t="s">
        <v>42</v>
      </c>
      <c r="D3" s="68"/>
      <c r="E3" s="68"/>
      <c r="F3" s="69"/>
    </row>
    <row r="4" spans="3:6" ht="18" x14ac:dyDescent="0.35">
      <c r="C4" s="19"/>
      <c r="D4" s="20"/>
      <c r="E4" s="20"/>
      <c r="F4" s="20"/>
    </row>
    <row r="5" spans="3:6" ht="18" x14ac:dyDescent="0.35">
      <c r="C5" s="25" t="s">
        <v>40</v>
      </c>
      <c r="D5" s="26"/>
      <c r="E5" s="26"/>
      <c r="F5" s="35"/>
    </row>
    <row r="6" spans="3:6" ht="18" x14ac:dyDescent="0.35">
      <c r="C6" s="27" t="s">
        <v>41</v>
      </c>
      <c r="D6" s="28"/>
      <c r="E6" s="28"/>
      <c r="F6" s="29"/>
    </row>
    <row r="7" spans="3:6" ht="18" x14ac:dyDescent="0.35">
      <c r="C7" s="19"/>
      <c r="D7" s="20"/>
      <c r="E7" s="20"/>
      <c r="F7" s="20"/>
    </row>
    <row r="8" spans="3:6" ht="18" x14ac:dyDescent="0.35">
      <c r="C8" s="70" t="s">
        <v>11</v>
      </c>
      <c r="D8" s="70"/>
      <c r="E8" s="70"/>
      <c r="F8" s="30">
        <v>0</v>
      </c>
    </row>
    <row r="9" spans="3:6" ht="18" x14ac:dyDescent="0.35">
      <c r="C9" s="70" t="s">
        <v>12</v>
      </c>
      <c r="D9" s="70"/>
      <c r="E9" s="70"/>
      <c r="F9" s="30">
        <v>0</v>
      </c>
    </row>
    <row r="10" spans="3:6" ht="18" x14ac:dyDescent="0.35">
      <c r="C10" s="70" t="s">
        <v>14</v>
      </c>
      <c r="D10" s="70"/>
      <c r="E10" s="70"/>
      <c r="F10" s="30">
        <f>SUM(F8:F9)</f>
        <v>0</v>
      </c>
    </row>
    <row r="11" spans="3:6" ht="18" x14ac:dyDescent="0.35">
      <c r="C11" s="19"/>
      <c r="D11" s="20"/>
      <c r="E11" s="20"/>
      <c r="F11" s="21"/>
    </row>
    <row r="12" spans="3:6" ht="18" x14ac:dyDescent="0.35">
      <c r="C12" s="70" t="s">
        <v>13</v>
      </c>
      <c r="D12" s="70"/>
      <c r="E12" s="70"/>
      <c r="F12" s="31"/>
    </row>
    <row r="13" spans="3:6" ht="18" x14ac:dyDescent="0.35">
      <c r="C13" s="20"/>
      <c r="D13" s="20"/>
      <c r="E13" s="20"/>
      <c r="F13" s="21"/>
    </row>
    <row r="14" spans="3:6" ht="18" x14ac:dyDescent="0.35">
      <c r="C14" s="70" t="s">
        <v>18</v>
      </c>
      <c r="D14" s="70"/>
      <c r="E14" s="70"/>
      <c r="F14" s="32">
        <f>F10-F12</f>
        <v>0</v>
      </c>
    </row>
    <row r="15" spans="3:6" ht="18" x14ac:dyDescent="0.35">
      <c r="C15" s="24"/>
      <c r="D15" s="24"/>
      <c r="E15" s="24"/>
      <c r="F15" s="21"/>
    </row>
    <row r="16" spans="3:6" ht="17.399999999999999" x14ac:dyDescent="0.3">
      <c r="C16" s="65" t="s">
        <v>17</v>
      </c>
      <c r="D16" s="65"/>
      <c r="E16" s="65"/>
      <c r="F16" s="65"/>
    </row>
    <row r="17" spans="3:6" ht="18" x14ac:dyDescent="0.35">
      <c r="C17" s="20"/>
      <c r="D17" s="20"/>
      <c r="E17" s="20"/>
      <c r="F17" s="21"/>
    </row>
    <row r="18" spans="3:6" ht="18" x14ac:dyDescent="0.35">
      <c r="C18" s="66" t="s">
        <v>15</v>
      </c>
      <c r="D18" s="66"/>
      <c r="E18" s="66"/>
      <c r="F18" s="30"/>
    </row>
    <row r="19" spans="3:6" ht="18" x14ac:dyDescent="0.35">
      <c r="C19" s="66" t="s">
        <v>16</v>
      </c>
      <c r="D19" s="66"/>
      <c r="E19" s="66"/>
      <c r="F19" s="30"/>
    </row>
    <row r="20" spans="3:6" ht="18" x14ac:dyDescent="0.35">
      <c r="C20" s="22"/>
      <c r="D20" s="22"/>
      <c r="E20" s="22"/>
      <c r="F20" s="23"/>
    </row>
    <row r="21" spans="3:6" x14ac:dyDescent="0.3">
      <c r="F21" s="1"/>
    </row>
    <row r="22" spans="3:6" x14ac:dyDescent="0.3">
      <c r="F22" s="1"/>
    </row>
    <row r="23" spans="3:6" x14ac:dyDescent="0.3">
      <c r="F23" s="1"/>
    </row>
    <row r="24" spans="3:6" x14ac:dyDescent="0.3">
      <c r="F24" s="1"/>
    </row>
  </sheetData>
  <mergeCells count="9">
    <mergeCell ref="C16:F16"/>
    <mergeCell ref="C18:E18"/>
    <mergeCell ref="C19:E19"/>
    <mergeCell ref="C3:F3"/>
    <mergeCell ref="C8:E8"/>
    <mergeCell ref="C9:E9"/>
    <mergeCell ref="C10:E10"/>
    <mergeCell ref="C12:E12"/>
    <mergeCell ref="C14:E14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ORÇAMENTO CUSTO</vt:lpstr>
      <vt:lpstr>CHECK LIST</vt:lpstr>
      <vt:lpstr>ESCALA</vt:lpstr>
      <vt:lpstr>FECHAMENTO</vt:lpstr>
      <vt:lpstr>'ORÇAMENTO CUSTO'!Area_de_impressao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Lidia</cp:lastModifiedBy>
  <cp:lastPrinted>2021-07-15T20:24:30Z</cp:lastPrinted>
  <dcterms:created xsi:type="dcterms:W3CDTF">2019-01-22T12:44:02Z</dcterms:created>
  <dcterms:modified xsi:type="dcterms:W3CDTF">2021-07-23T20:29:53Z</dcterms:modified>
</cp:coreProperties>
</file>