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hek list" sheetId="1" r:id="rId3"/>
    <sheet state="visible" name="Programação" sheetId="2" r:id="rId4"/>
    <sheet state="visible" name="Valores ingressos" sheetId="3" r:id="rId5"/>
    <sheet state="visible" name="novo modelo de ingressos" sheetId="4" r:id="rId6"/>
    <sheet state="visible" name="EXEMPLO mesas" sheetId="5" r:id="rId7"/>
  </sheets>
  <definedNames/>
  <calcPr/>
</workbook>
</file>

<file path=xl/sharedStrings.xml><?xml version="1.0" encoding="utf-8"?>
<sst xmlns="http://schemas.openxmlformats.org/spreadsheetml/2006/main" count="623" uniqueCount="428">
  <si>
    <t>Custo</t>
  </si>
  <si>
    <t>Pessoas</t>
  </si>
  <si>
    <t>Custo unitario</t>
  </si>
  <si>
    <t>Não associado</t>
  </si>
  <si>
    <t>Associado</t>
  </si>
  <si>
    <t>PLANEJAMENTO/CHECK-LISTS SUDOEXPO/18</t>
  </si>
  <si>
    <t>Estudante</t>
  </si>
  <si>
    <t>pacotes para palestras princiais</t>
  </si>
  <si>
    <t>Willian Wack</t>
  </si>
  <si>
    <t>HORÁRIO</t>
  </si>
  <si>
    <t>PROGRAMAÇÃO GERAL</t>
  </si>
  <si>
    <t>AUDITORIO 1</t>
  </si>
  <si>
    <t>AUDITÓRIO 2</t>
  </si>
  <si>
    <t>AUDITÓRIO 3</t>
  </si>
  <si>
    <t>ABERTURA DOS PORTÕES</t>
  </si>
  <si>
    <t>SEBRAE A</t>
  </si>
  <si>
    <t>OFICINA CULINÁRIA</t>
  </si>
  <si>
    <t>nao</t>
  </si>
  <si>
    <t>Data: 12 A 15 DE SETEMBRO 18 Local: FEIRA COBERTA   Cidade: RIO VERDE - GO  Público: 20 MIL PESSOAS</t>
  </si>
  <si>
    <t>IPOG</t>
  </si>
  <si>
    <t>ABERTURA OFICAL PRAÇA DE ALIMENTAÇÃO</t>
  </si>
  <si>
    <t>WILLIAM WACK</t>
  </si>
  <si>
    <t xml:space="preserve"> </t>
  </si>
  <si>
    <t>SHOW MUSICAL</t>
  </si>
  <si>
    <t>FECHAMENTO DA ÁEREA DE EXPOSIÇÃO</t>
  </si>
  <si>
    <t>ELIMINATÓRIA FESTIVAL BARZINHO E VIOLÃO</t>
  </si>
  <si>
    <t>ENCERRAMENTO DO DIA</t>
  </si>
  <si>
    <t>FASE 1 - PRÉ PRODUÇÃO</t>
  </si>
  <si>
    <t>FGV</t>
  </si>
  <si>
    <t>OFICINA SENAI</t>
  </si>
  <si>
    <t>TEATRO SEU CHICO</t>
  </si>
  <si>
    <t>FASE 2 - PRODUÇÃO</t>
  </si>
  <si>
    <t>Artur igreja</t>
  </si>
  <si>
    <t>Clovis de barros</t>
  </si>
  <si>
    <t>FASE 2 - PÓS PRODUÇÃO</t>
  </si>
  <si>
    <t>Fred Rocha</t>
  </si>
  <si>
    <t>Atividade</t>
  </si>
  <si>
    <t>Daniel dias</t>
  </si>
  <si>
    <t>Responsável pela atividade</t>
  </si>
  <si>
    <t>Pacote não associado</t>
  </si>
  <si>
    <t>Pacote associado</t>
  </si>
  <si>
    <t>Valor</t>
  </si>
  <si>
    <t>RECEBER CLOVIS DE BARROS ESTANDE ACIRV</t>
  </si>
  <si>
    <t>CLOVIS DE BARROS</t>
  </si>
  <si>
    <t xml:space="preserve">% desconto </t>
  </si>
  <si>
    <t>COMPETIÇÃO GASTRONOMIA</t>
  </si>
  <si>
    <t>Desconto</t>
  </si>
  <si>
    <t>IGOR MONTENEGRO</t>
  </si>
  <si>
    <t>SEBRAE "B"</t>
  </si>
  <si>
    <t>RECEBER OTAVIO GUEDES ESTANDE ACIRV</t>
  </si>
  <si>
    <t>OFICINA SENAC MULHER</t>
  </si>
  <si>
    <t>ARTHUR IGREJA</t>
  </si>
  <si>
    <t>Valor liquido</t>
  </si>
  <si>
    <t>RECEBER DANIEL DIASESTANDE ACIRV</t>
  </si>
  <si>
    <t>DANIEL DIAS</t>
  </si>
  <si>
    <t>FINAL FESTIVAL BARZINHO E VIOLÃO</t>
  </si>
  <si>
    <t>Taxa 90 dias 3x</t>
  </si>
  <si>
    <t>GOOGLE / STAND UP / TEATRO</t>
  </si>
  <si>
    <t>SEBRAE "C"</t>
  </si>
  <si>
    <t>A DEFINIR</t>
  </si>
  <si>
    <t>SHOW COM OS GANHADORES DO FESTIVAL</t>
  </si>
  <si>
    <t>OFICINA A DEFINIR</t>
  </si>
  <si>
    <t>ENTREGA PREMIAÇÃO GASTRONOMIA</t>
  </si>
  <si>
    <t>COMPETIÇÃO DOS GANHADORES DO FESTIVAL BARZINHO E VIOLÃO</t>
  </si>
  <si>
    <t>Ingresso</t>
  </si>
  <si>
    <t>SHOW DE ENCERAMENTO</t>
  </si>
  <si>
    <t>entrada da feira</t>
  </si>
  <si>
    <t>Custo palestrante</t>
  </si>
  <si>
    <t>&lt;-meia</t>
  </si>
  <si>
    <t>Saldo</t>
  </si>
  <si>
    <t>Status</t>
  </si>
  <si>
    <t>1 - Planejamento</t>
  </si>
  <si>
    <t>1. Definição das comissões</t>
  </si>
  <si>
    <t>Ivo</t>
  </si>
  <si>
    <t>x</t>
  </si>
  <si>
    <t>1.1 Fechamento patrocinio SEBRAE</t>
  </si>
  <si>
    <t>Ivo/Pagotto</t>
  </si>
  <si>
    <t>PRIMEIRO LOTE - até 10/08</t>
  </si>
  <si>
    <t>1.2 Planejar como receber do Governo</t>
  </si>
  <si>
    <t>1.3 Fechamento patrocinio Prefeitura</t>
  </si>
  <si>
    <t>PALESTRANTES</t>
  </si>
  <si>
    <t>Valor Base</t>
  </si>
  <si>
    <t>1.4 Planejar a grade das palestras</t>
  </si>
  <si>
    <t>Fernando</t>
  </si>
  <si>
    <t>Desconto Lote</t>
  </si>
  <si>
    <t>Desconto Associado</t>
  </si>
  <si>
    <t>1.5 Planejar a grade cultural</t>
  </si>
  <si>
    <t>Valor Bruto</t>
  </si>
  <si>
    <t>Roselaine/Pagotto</t>
  </si>
  <si>
    <t>Valor nao associado</t>
  </si>
  <si>
    <t>Valor associado</t>
  </si>
  <si>
    <t>Valor Estudante</t>
  </si>
  <si>
    <t>Qnt a venda</t>
  </si>
  <si>
    <t xml:space="preserve">1.6 Definição do mapa da feira </t>
  </si>
  <si>
    <t>Pagotto</t>
  </si>
  <si>
    <t>Qnt a venda meia</t>
  </si>
  <si>
    <t>Ex. Qnt não assoc.</t>
  </si>
  <si>
    <t>Ex. Qnt Assoc.</t>
  </si>
  <si>
    <t>Ex. Qnt Meia</t>
  </si>
  <si>
    <t>Total não associado</t>
  </si>
  <si>
    <t>Total Associado</t>
  </si>
  <si>
    <t>Total Meia</t>
  </si>
  <si>
    <t>TOTAL</t>
  </si>
  <si>
    <t>Taxa fixa</t>
  </si>
  <si>
    <t>Taxa %</t>
  </si>
  <si>
    <t>Total Taxa</t>
  </si>
  <si>
    <t>Arrecadado</t>
  </si>
  <si>
    <t>CAMAROTE VIP</t>
  </si>
  <si>
    <t>N4</t>
  </si>
  <si>
    <t>M4</t>
  </si>
  <si>
    <t>L4</t>
  </si>
  <si>
    <t>K4</t>
  </si>
  <si>
    <t>J4</t>
  </si>
  <si>
    <t>I4</t>
  </si>
  <si>
    <t>H4</t>
  </si>
  <si>
    <t>G4</t>
  </si>
  <si>
    <t>F4</t>
  </si>
  <si>
    <t>E4</t>
  </si>
  <si>
    <t>D4</t>
  </si>
  <si>
    <t>C4</t>
  </si>
  <si>
    <t>B4</t>
  </si>
  <si>
    <t>A4</t>
  </si>
  <si>
    <t>N3</t>
  </si>
  <si>
    <t>M3</t>
  </si>
  <si>
    <t>L3</t>
  </si>
  <si>
    <t>K3</t>
  </si>
  <si>
    <t>J3</t>
  </si>
  <si>
    <t>I3</t>
  </si>
  <si>
    <t>H3</t>
  </si>
  <si>
    <t>G3</t>
  </si>
  <si>
    <t>F3</t>
  </si>
  <si>
    <t>E3</t>
  </si>
  <si>
    <t>D3</t>
  </si>
  <si>
    <t>C3</t>
  </si>
  <si>
    <t>B3</t>
  </si>
  <si>
    <t>A3</t>
  </si>
  <si>
    <t>O2</t>
  </si>
  <si>
    <t>N2</t>
  </si>
  <si>
    <t>M2</t>
  </si>
  <si>
    <t>L2</t>
  </si>
  <si>
    <t>K2</t>
  </si>
  <si>
    <t>J2</t>
  </si>
  <si>
    <t>I2</t>
  </si>
  <si>
    <t>H2</t>
  </si>
  <si>
    <t>G2</t>
  </si>
  <si>
    <t>F2</t>
  </si>
  <si>
    <t>E2</t>
  </si>
  <si>
    <t>D2</t>
  </si>
  <si>
    <t>C2</t>
  </si>
  <si>
    <t>B2</t>
  </si>
  <si>
    <t>A2</t>
  </si>
  <si>
    <t>O1</t>
  </si>
  <si>
    <t>N1</t>
  </si>
  <si>
    <t>M1</t>
  </si>
  <si>
    <t>L1</t>
  </si>
  <si>
    <t>K1</t>
  </si>
  <si>
    <t>J1</t>
  </si>
  <si>
    <t>I1</t>
  </si>
  <si>
    <t>H1</t>
  </si>
  <si>
    <t>G1</t>
  </si>
  <si>
    <t>F1</t>
  </si>
  <si>
    <t>E1</t>
  </si>
  <si>
    <t>D1</t>
  </si>
  <si>
    <t>C1</t>
  </si>
  <si>
    <t>B1</t>
  </si>
  <si>
    <t>A1</t>
  </si>
  <si>
    <t>AREA VIP</t>
  </si>
  <si>
    <t>8A</t>
  </si>
  <si>
    <t>7A</t>
  </si>
  <si>
    <t>6A</t>
  </si>
  <si>
    <t>5A</t>
  </si>
  <si>
    <t>4A</t>
  </si>
  <si>
    <t>3A</t>
  </si>
  <si>
    <t>2A</t>
  </si>
  <si>
    <t>1A</t>
  </si>
  <si>
    <t>8B</t>
  </si>
  <si>
    <t>7B</t>
  </si>
  <si>
    <t>6B</t>
  </si>
  <si>
    <t>5B</t>
  </si>
  <si>
    <t>4B</t>
  </si>
  <si>
    <t>3B</t>
  </si>
  <si>
    <t>2B</t>
  </si>
  <si>
    <t>1B</t>
  </si>
  <si>
    <t>SETOR 1 ASSOCIADO</t>
  </si>
  <si>
    <t>8C</t>
  </si>
  <si>
    <t>7C</t>
  </si>
  <si>
    <t>6C</t>
  </si>
  <si>
    <t>5C</t>
  </si>
  <si>
    <t>4C</t>
  </si>
  <si>
    <t>3C</t>
  </si>
  <si>
    <t>2C</t>
  </si>
  <si>
    <t>1C</t>
  </si>
  <si>
    <t>SETOR 2 ASSOCIADO</t>
  </si>
  <si>
    <t>total</t>
  </si>
  <si>
    <t>8D</t>
  </si>
  <si>
    <t>7D</t>
  </si>
  <si>
    <t>6D</t>
  </si>
  <si>
    <t>5D</t>
  </si>
  <si>
    <t>4D</t>
  </si>
  <si>
    <t>3D</t>
  </si>
  <si>
    <t>2D</t>
  </si>
  <si>
    <t>1D</t>
  </si>
  <si>
    <t>8E</t>
  </si>
  <si>
    <t>7E</t>
  </si>
  <si>
    <t>6E</t>
  </si>
  <si>
    <t>5E</t>
  </si>
  <si>
    <t>4E</t>
  </si>
  <si>
    <t>3E</t>
  </si>
  <si>
    <t>2E</t>
  </si>
  <si>
    <t>1E</t>
  </si>
  <si>
    <t>PALCO</t>
  </si>
  <si>
    <t>SETOR 1 NÃO ASSOCIADO</t>
  </si>
  <si>
    <t>8F</t>
  </si>
  <si>
    <t>7F</t>
  </si>
  <si>
    <t>6F</t>
  </si>
  <si>
    <t>5F</t>
  </si>
  <si>
    <t>4F</t>
  </si>
  <si>
    <t>3F</t>
  </si>
  <si>
    <t>2F</t>
  </si>
  <si>
    <t>1F</t>
  </si>
  <si>
    <t>SETOR 2 NÃO ASSOCIADO</t>
  </si>
  <si>
    <t>8G</t>
  </si>
  <si>
    <t>7G</t>
  </si>
  <si>
    <t>6G</t>
  </si>
  <si>
    <t>5G</t>
  </si>
  <si>
    <t>4G</t>
  </si>
  <si>
    <t>3G</t>
  </si>
  <si>
    <t>2G</t>
  </si>
  <si>
    <t>1G</t>
  </si>
  <si>
    <t>8H</t>
  </si>
  <si>
    <t>7H</t>
  </si>
  <si>
    <t>6H</t>
  </si>
  <si>
    <t>5H</t>
  </si>
  <si>
    <t>4H</t>
  </si>
  <si>
    <t>3H</t>
  </si>
  <si>
    <t>2H</t>
  </si>
  <si>
    <t>1H</t>
  </si>
  <si>
    <t>8I</t>
  </si>
  <si>
    <t>7I</t>
  </si>
  <si>
    <t>6I</t>
  </si>
  <si>
    <t>5I</t>
  </si>
  <si>
    <t>4I</t>
  </si>
  <si>
    <t>3I</t>
  </si>
  <si>
    <t>2I</t>
  </si>
  <si>
    <t>1I</t>
  </si>
  <si>
    <t>8J</t>
  </si>
  <si>
    <t>7J</t>
  </si>
  <si>
    <t>6J</t>
  </si>
  <si>
    <t>5J</t>
  </si>
  <si>
    <t>4J</t>
  </si>
  <si>
    <t>3J</t>
  </si>
  <si>
    <t>2J</t>
  </si>
  <si>
    <t>1J</t>
  </si>
  <si>
    <t>1.7 Definição da Montadora</t>
  </si>
  <si>
    <t>Comissão</t>
  </si>
  <si>
    <t>1.8 Contratar o MKT da feira</t>
  </si>
  <si>
    <t>Marcelo</t>
  </si>
  <si>
    <t>1.9 Contratar equipe de venda</t>
  </si>
  <si>
    <t>ISSAO IMAMURA</t>
  </si>
  <si>
    <t>SHOW 15 CAMAROTE open+mesa+garçom setor 1</t>
  </si>
  <si>
    <t>-</t>
  </si>
  <si>
    <t>2 - Lançamento da feira</t>
  </si>
  <si>
    <t>SHOW 15 CAMAROTE open+mesa+garçom setor 2</t>
  </si>
  <si>
    <t>2.1 Data / local / horário lançamento da Feira</t>
  </si>
  <si>
    <t>2.2 Lista de convidados para o Lançamento</t>
  </si>
  <si>
    <t>2.3 Cerimonial do lançamento.</t>
  </si>
  <si>
    <t>2.4 Equipamentos técnico para o lançamento</t>
  </si>
  <si>
    <t>2.5 Serviço de copa do evento</t>
  </si>
  <si>
    <t>SHOW 15 AREA VIP open+mesa setor 1</t>
  </si>
  <si>
    <t>2.6 Definição das ações do lançamento</t>
  </si>
  <si>
    <t>2.7 Material publicitário do evento e feira</t>
  </si>
  <si>
    <t>2.8 Tabela de preços da feira</t>
  </si>
  <si>
    <t>SHOW 15 AREA VIP open+mesa setor 2</t>
  </si>
  <si>
    <t>2.9 Mapa da feira</t>
  </si>
  <si>
    <t>2.10 Equipe de venda da feira</t>
  </si>
  <si>
    <t>3. Formação das equipes</t>
  </si>
  <si>
    <t>SHOW 15 PISTA VIP</t>
  </si>
  <si>
    <t>3.0 Montagem / infraestrutura</t>
  </si>
  <si>
    <t>Pagotto / José Carlos</t>
  </si>
  <si>
    <t>3.1 Logística / palestras / festival / autoridades</t>
  </si>
  <si>
    <t>3.2 Segurança / limpeza</t>
  </si>
  <si>
    <t>Manoel Divino</t>
  </si>
  <si>
    <t>3.3 Portaria / credenciamento / venda ingressos</t>
  </si>
  <si>
    <t>José Calos</t>
  </si>
  <si>
    <t>3.4 Comunicação / assessoria de imprensa</t>
  </si>
  <si>
    <t>3.5 Comercialização / suporte expositores / manual feira</t>
  </si>
  <si>
    <t>3.6 Financeiro / contas a pagar / contas a receber</t>
  </si>
  <si>
    <t>Alexandro</t>
  </si>
  <si>
    <t xml:space="preserve">3.7 Responsável do Desfile </t>
  </si>
  <si>
    <t>Roselaine</t>
  </si>
  <si>
    <t>SEGUNDO LOTE - de 11/08 ate 31/08</t>
  </si>
  <si>
    <t>3.8 Responsável dos festivais</t>
  </si>
  <si>
    <t>3.9 Responsável das palestras</t>
  </si>
  <si>
    <t>Fernando Balem</t>
  </si>
  <si>
    <t>3.10 Responsável Inovação startup</t>
  </si>
  <si>
    <t>Fausto Caparelli</t>
  </si>
  <si>
    <t>3.1 Equipes</t>
  </si>
  <si>
    <t>3.1.0 Contratar recepcionistas Credenciamento</t>
  </si>
  <si>
    <t>3.1.1 Contratar recepcionistas Venda de ingressos</t>
  </si>
  <si>
    <t>3.1.2 Contratar recepcionistas palestras</t>
  </si>
  <si>
    <t>3.1.3 Contratar modelos desfile</t>
  </si>
  <si>
    <t>3.1.3 Contratar coordenador de desfile</t>
  </si>
  <si>
    <t>3.1.4 Contratar Brigadista/socorista</t>
  </si>
  <si>
    <t>3.1.4 Contratar Eletrecista</t>
  </si>
  <si>
    <t>3.1.4 Contratar Encanador</t>
  </si>
  <si>
    <t>3.1.2 Contratar ajudante serviços em geral</t>
  </si>
  <si>
    <t>3.1. Contratar decorador</t>
  </si>
  <si>
    <t>4. Programação</t>
  </si>
  <si>
    <t>4.0 Programação oficial palestras</t>
  </si>
  <si>
    <t>4.1 programação oficial musical</t>
  </si>
  <si>
    <t>4.2 Programação oficial do desfile</t>
  </si>
  <si>
    <t>4.3 Programação oficia da feira em geral</t>
  </si>
  <si>
    <t>5. Administrativo-financeiro</t>
  </si>
  <si>
    <t>Definição do orçamento</t>
  </si>
  <si>
    <t>5.0 Orçamento de montagem da feira</t>
  </si>
  <si>
    <t>5.1 Orçamento das palestras</t>
  </si>
  <si>
    <t>5.2 Orçamento dos festivais</t>
  </si>
  <si>
    <t>5.3 Orçamento total da feira</t>
  </si>
  <si>
    <t>5.4 Orçamento de Mkt e publicidade</t>
  </si>
  <si>
    <t>5.5 Orçamento de comunicação visual feira</t>
  </si>
  <si>
    <t>6. Estrutura</t>
  </si>
  <si>
    <t>SHOW 15 PISTA open</t>
  </si>
  <si>
    <t>6.0 Contratação da montadora</t>
  </si>
  <si>
    <t>6.1 Inicio da montagem</t>
  </si>
  <si>
    <t>6.2 Contratação empresa de segurança / limpeza</t>
  </si>
  <si>
    <t>6.3 Checagem do local com equipe de segurança</t>
  </si>
  <si>
    <t>Manoel</t>
  </si>
  <si>
    <t xml:space="preserve">6.4 contratação de empresa de credenciamento </t>
  </si>
  <si>
    <t xml:space="preserve">6.5 contratação de empresa da portaria </t>
  </si>
  <si>
    <t>6.6 Montagem do credenciamento</t>
  </si>
  <si>
    <t>Zé carlos</t>
  </si>
  <si>
    <t xml:space="preserve">6.7 Contratação de empresa de tecnologia </t>
  </si>
  <si>
    <t>6.8 Instalação dos equipamentos de tecnologia</t>
  </si>
  <si>
    <t>TERCEIRO LOTE - a partir 01/09</t>
  </si>
  <si>
    <t>6.9 Limpeza da feira coberta</t>
  </si>
  <si>
    <t>6.9 Colocação de meio fio na feira e estacionamento</t>
  </si>
  <si>
    <t>6.10 Contratação de tenda galpão 40x80m</t>
  </si>
  <si>
    <t>6.11 Montagem da tenda galpão</t>
  </si>
  <si>
    <t xml:space="preserve">6.12 Contratação de banheiros químicos </t>
  </si>
  <si>
    <t xml:space="preserve">6.13 Instalar banheiros químicos </t>
  </si>
  <si>
    <t>6.14 Contratar empresa de som/luz/palco/telão de led</t>
  </si>
  <si>
    <t>6.15 Instalar equipamentos de som/luz/palco/telão de led</t>
  </si>
  <si>
    <t>6.16 Locação de cabos de energia</t>
  </si>
  <si>
    <t>6.17 Instalação dos cabos de energia</t>
  </si>
  <si>
    <t>Já esta no local</t>
  </si>
  <si>
    <t>6.18 Contratação de fechamento de lata</t>
  </si>
  <si>
    <t>6.19 Montagem do fechamento</t>
  </si>
  <si>
    <t>6.20 Contratação de empresa de internet</t>
  </si>
  <si>
    <t>6.21 Instalação de Internet</t>
  </si>
  <si>
    <t>6.22 Celg e transformador</t>
  </si>
  <si>
    <t>7. Entrada de recursos/venda estandes</t>
  </si>
  <si>
    <t>7.0 Patrocínios</t>
  </si>
  <si>
    <t>7.1 Permutas</t>
  </si>
  <si>
    <t>7.2 Venda de estantes</t>
  </si>
  <si>
    <t>Pedro</t>
  </si>
  <si>
    <t>7.3 Venda de merchandisigner</t>
  </si>
  <si>
    <t>7.4 Venda de ingressos palestras</t>
  </si>
  <si>
    <t>7.5 Venda de ingressos feira</t>
  </si>
  <si>
    <t>7.6 Venda de ingressos show</t>
  </si>
  <si>
    <t>8. Jurídico</t>
  </si>
  <si>
    <t>8.0 Contratos com prestadores</t>
  </si>
  <si>
    <t>Pignatti</t>
  </si>
  <si>
    <t>8.1 Contratos de venda</t>
  </si>
  <si>
    <t xml:space="preserve">8.2 Contratos artísticos </t>
  </si>
  <si>
    <t>8.3 Contratos palestrantes</t>
  </si>
  <si>
    <t>9. Secretáriado</t>
  </si>
  <si>
    <t>PACOTES DE DESCONTOS PALESTRAS</t>
  </si>
  <si>
    <t>9.1 Alvarás prefeitura</t>
  </si>
  <si>
    <t>Mariana</t>
  </si>
  <si>
    <t>9.2 Alvarás Bombeiros</t>
  </si>
  <si>
    <t>Sem taxas</t>
  </si>
  <si>
    <t>Taxas</t>
  </si>
  <si>
    <t>2 palestras</t>
  </si>
  <si>
    <t>5% de desconto</t>
  </si>
  <si>
    <t>9.3 Alvaras AMT</t>
  </si>
  <si>
    <t>9.4 Taxas públicas</t>
  </si>
  <si>
    <t>9.5 Regulamento do evento</t>
  </si>
  <si>
    <t>Gustavo Tecniprom</t>
  </si>
  <si>
    <t>3 palestras</t>
  </si>
  <si>
    <t>10% de desconto</t>
  </si>
  <si>
    <t>9.6 Levantamento de documentação da feira</t>
  </si>
  <si>
    <t>4 palestras</t>
  </si>
  <si>
    <t>15% de desconto</t>
  </si>
  <si>
    <t>5 palestras</t>
  </si>
  <si>
    <t>20% de desconto</t>
  </si>
  <si>
    <t>9.7 Oficios aos órgãos competentes</t>
  </si>
  <si>
    <t>10. Comunicação</t>
  </si>
  <si>
    <t>10.0 Planejamento estratégico</t>
  </si>
  <si>
    <t>10.1 Cerimonial da feira</t>
  </si>
  <si>
    <t>10.2 Sinalização da feira (criação e produção)</t>
  </si>
  <si>
    <t>10.3 Peças institucionais</t>
  </si>
  <si>
    <t>10.4 Peças gráficas da feira e festivais</t>
  </si>
  <si>
    <t>10.5 Peças eletrônicas</t>
  </si>
  <si>
    <t>10.6 Brindes e material promocional</t>
  </si>
  <si>
    <t>10.7 Mídia paga (rádio, tv, impressos, internet)</t>
  </si>
  <si>
    <t>10.8 Assessoria de imprensa (mídia espontânea)</t>
  </si>
  <si>
    <t xml:space="preserve">10.9 Criação de material para palestra </t>
  </si>
  <si>
    <t>10.10 Impressão de material palestra, feira e festivais</t>
  </si>
  <si>
    <t>10.11 Produção de vídeos</t>
  </si>
  <si>
    <t>10.12 Criação de Web site e facebook</t>
  </si>
  <si>
    <t>11. Desmontagem</t>
  </si>
  <si>
    <t>11.0 Estrutura</t>
  </si>
  <si>
    <t>11.2 Equipamentos</t>
  </si>
  <si>
    <t>11.3 Limpeza</t>
  </si>
  <si>
    <t>12. Entrega de Certificado/premiação</t>
  </si>
  <si>
    <t>12.0 Criar lista para quem vai certificado</t>
  </si>
  <si>
    <t>Mariana/Roselaine</t>
  </si>
  <si>
    <t>12.1 Entregar Certificados</t>
  </si>
  <si>
    <t>Diretoria</t>
  </si>
  <si>
    <t>12.2 Criar premiação do festival gastronômico</t>
  </si>
  <si>
    <t>12.3 Criar premiação do festival barzinho e violão</t>
  </si>
  <si>
    <t>12.4 Confeccionar os trofeus dos festivais</t>
  </si>
  <si>
    <t>13. Pagamentos / Acertos finais</t>
  </si>
  <si>
    <t>13.0 Equipe</t>
  </si>
  <si>
    <t>13.1 Forncedores</t>
  </si>
  <si>
    <t>13.2 Comissão sobre as vendas</t>
  </si>
  <si>
    <t>14. Pesquisa de satisfação (público interno)</t>
  </si>
  <si>
    <t>14.0 Criar formulário de pesquisa expositores e público</t>
  </si>
  <si>
    <t>14.1 Aplicar a pesquisa expositores e público</t>
  </si>
  <si>
    <t>Marcelo/equipe acirv</t>
  </si>
  <si>
    <t>14.2 Emitir relatório final</t>
  </si>
  <si>
    <t>15. Relatório final</t>
  </si>
  <si>
    <t>15.0 De vendas</t>
  </si>
  <si>
    <t>15.1 De público</t>
  </si>
  <si>
    <t>16.2 De satisfação</t>
  </si>
  <si>
    <t>16.3 De participação das palestras</t>
  </si>
  <si>
    <t>16.4 Dos festivais</t>
  </si>
  <si>
    <t>16.5 Financeiro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</si>
</sst>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m"/>
    <numFmt numFmtId="165" formatCode="hh:mm"/>
    <numFmt numFmtId="166" formatCode="&quot;$&quot;#,##0.00"/>
    <numFmt numFmtId="167" formatCode="dd/mm"/>
    <numFmt numFmtId="168" formatCode="m/yyyy"/>
  </numFmts>
  <fonts count="17">
    <font>
      <sz val="11.0"/>
      <color rgb="FF000000"/>
      <name val="Calibri"/>
    </font>
    <font/>
    <font>
      <b/>
    </font>
    <font>
      <b/>
      <sz val="17.0"/>
      <color rgb="FF000000"/>
      <name val="Calibri"/>
    </font>
    <font>
      <b/>
      <sz val="18.0"/>
      <color rgb="FF000000"/>
      <name val="Helvetica Neue"/>
    </font>
    <font>
      <sz val="12.0"/>
      <color rgb="FF000000"/>
      <name val="Calibri"/>
    </font>
    <font>
      <sz val="11.0"/>
      <name val="Calibri"/>
    </font>
    <font>
      <b/>
      <sz val="14.0"/>
      <color rgb="FFFFFFFF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name val="Arial"/>
    </font>
    <font>
      <name val="Arial"/>
    </font>
    <font>
      <b/>
      <sz val="13.0"/>
      <color rgb="FF000000"/>
      <name val="Calibri"/>
    </font>
    <font>
      <b/>
      <sz val="11.0"/>
      <color rgb="FF598A38"/>
      <name val="Calibri"/>
    </font>
    <font>
      <sz val="11.0"/>
      <color rgb="FFFF1507"/>
      <name val="Calibri"/>
    </font>
    <font>
      <b/>
      <sz val="11.0"/>
      <color rgb="FF365B9C"/>
      <name val="Calibri"/>
    </font>
    <font>
      <b/>
      <sz val="14.0"/>
    </font>
  </fonts>
  <fills count="3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2F2F2"/>
        <bgColor rgb="FFF2F2F2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rgb="FFA4C2F4"/>
        <bgColor rgb="FFA4C2F4"/>
      </patternFill>
    </fill>
    <fill>
      <patternFill patternType="solid">
        <fgColor rgb="FFAD2B0D"/>
        <bgColor rgb="FFAD2B0D"/>
      </patternFill>
    </fill>
    <fill>
      <patternFill patternType="solid">
        <fgColor rgb="FF487CAA"/>
        <bgColor rgb="FF487CAA"/>
      </patternFill>
    </fill>
    <fill>
      <patternFill patternType="solid">
        <fgColor rgb="FF848484"/>
        <bgColor rgb="FF848484"/>
      </patternFill>
    </fill>
    <fill>
      <patternFill patternType="solid">
        <fgColor rgb="FF3C78D8"/>
        <bgColor rgb="FF3C78D8"/>
      </patternFill>
    </fill>
    <fill>
      <patternFill patternType="solid">
        <fgColor rgb="FFA64D79"/>
        <bgColor rgb="FFA64D79"/>
      </patternFill>
    </fill>
    <fill>
      <patternFill patternType="solid">
        <fgColor rgb="FF7D9DEE"/>
        <bgColor rgb="FF7D9DEE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3">
    <border/>
    <border>
      <left/>
      <top/>
      <bottom style="medium">
        <color rgb="FF7F7F7F"/>
      </bottom>
    </border>
    <border>
      <top/>
      <bottom style="medium">
        <color rgb="FF7F7F7F"/>
      </bottom>
    </border>
    <border>
      <right/>
      <top/>
      <bottom style="medium">
        <color rgb="FF7F7F7F"/>
      </bottom>
    </border>
    <border>
      <left style="thin">
        <color rgb="FFBFBFBF"/>
      </left>
      <top style="medium">
        <color rgb="FF7F7F7F"/>
      </top>
    </border>
    <border>
      <top style="medium">
        <color rgb="FF7F7F7F"/>
      </top>
    </border>
    <border>
      <right/>
      <top style="medium">
        <color rgb="FF7F7F7F"/>
      </top>
    </border>
    <border>
      <left/>
      <right/>
      <top/>
      <bottom style="thin">
        <color rgb="FF548135"/>
      </bottom>
    </border>
    <border>
      <left/>
      <top/>
      <bottom style="thin">
        <color rgb="FF548135"/>
      </bottom>
    </border>
    <border>
      <top/>
      <bottom style="thin">
        <color rgb="FF548135"/>
      </bottom>
    </border>
    <border>
      <right/>
      <top/>
      <bottom style="thin">
        <color rgb="FF548135"/>
      </bottom>
    </border>
    <border>
      <right/>
      <bottom style="thin">
        <color rgb="FF548135"/>
      </bottom>
    </border>
    <border>
      <left style="thin">
        <color rgb="FF548135"/>
      </left>
      <right style="thin">
        <color rgb="FF548135"/>
      </right>
      <top style="thin">
        <color rgb="FF548135"/>
      </top>
      <bottom style="thin">
        <color rgb="FF548135"/>
      </bottom>
    </border>
    <border>
      <left style="thin">
        <color rgb="FF548135"/>
      </left>
      <top style="thin">
        <color rgb="FF548135"/>
      </top>
      <bottom style="thin">
        <color rgb="FF548135"/>
      </bottom>
    </border>
    <border>
      <right style="thin">
        <color rgb="FF548135"/>
      </right>
      <top style="thin">
        <color rgb="FF548135"/>
      </top>
      <bottom style="thin">
        <color rgb="FF548135"/>
      </bottom>
    </border>
    <border>
      <top style="thin">
        <color rgb="FF548135"/>
      </top>
      <bottom style="thin">
        <color rgb="FF548135"/>
      </bottom>
    </border>
    <border>
      <right/>
      <top style="thin">
        <color rgb="FF548135"/>
      </top>
      <bottom style="thin">
        <color rgb="FF548135"/>
      </bottom>
    </border>
    <border>
      <left/>
      <top style="thin">
        <color rgb="FF548135"/>
      </top>
      <bottom style="thin">
        <color rgb="FF548135"/>
      </bottom>
    </border>
    <border>
      <left style="thin">
        <color rgb="FF000000"/>
      </left>
      <right style="thin">
        <color rgb="FF000000"/>
      </right>
      <top style="thin">
        <color rgb="FF54813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4813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5593"/>
      </bottom>
    </border>
    <border>
      <left style="thin">
        <color rgb="FF000000"/>
      </left>
      <right style="thin">
        <color rgb="FF000000"/>
      </right>
      <top style="thin">
        <color rgb="FF335593"/>
      </top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vertical="bottom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 vertical="center"/>
    </xf>
    <xf borderId="0" fillId="0" fontId="1" numFmtId="165" xfId="0" applyAlignment="1" applyFont="1" applyNumberFormat="1">
      <alignment horizontal="center" readingOrder="0"/>
    </xf>
    <xf borderId="1" fillId="4" fontId="3" numFmtId="49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/>
    </xf>
    <xf borderId="2" fillId="0" fontId="1" numFmtId="0" xfId="0" applyBorder="1" applyFont="1"/>
    <xf borderId="0" fillId="5" fontId="1" numFmtId="0" xfId="0" applyAlignment="1" applyFill="1" applyFont="1">
      <alignment horizontal="center" readingOrder="0" vertical="center"/>
    </xf>
    <xf borderId="0" fillId="0" fontId="1" numFmtId="166" xfId="0" applyAlignment="1" applyFont="1" applyNumberFormat="1">
      <alignment readingOrder="0"/>
    </xf>
    <xf borderId="0" fillId="6" fontId="1" numFmtId="0" xfId="0" applyAlignment="1" applyFill="1" applyFont="1">
      <alignment horizontal="center" readingOrder="0" vertical="center"/>
    </xf>
    <xf borderId="3" fillId="0" fontId="1" numFmtId="0" xfId="0" applyBorder="1" applyFont="1"/>
    <xf borderId="0" fillId="7" fontId="1" numFmtId="0" xfId="0" applyAlignment="1" applyFill="1" applyFont="1">
      <alignment horizontal="center" readingOrder="0" vertical="center"/>
    </xf>
    <xf borderId="4" fillId="0" fontId="4" numFmtId="49" xfId="0" applyAlignment="1" applyBorder="1" applyFont="1" applyNumberFormat="1">
      <alignment horizontal="left" shrinkToFit="0" vertical="center" wrapText="1"/>
    </xf>
    <xf borderId="0" fillId="8" fontId="1" numFmtId="0" xfId="0" applyAlignment="1" applyFill="1" applyFont="1">
      <alignment horizontal="center" readingOrder="0" vertical="center"/>
    </xf>
    <xf borderId="5" fillId="0" fontId="5" numFmtId="0" xfId="0" applyAlignment="1" applyBorder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5" fillId="0" fontId="0" numFmtId="0" xfId="0" applyAlignment="1" applyBorder="1" applyFont="1">
      <alignment vertical="bottom"/>
    </xf>
    <xf borderId="0" fillId="9" fontId="1" numFmtId="0" xfId="0" applyAlignment="1" applyFill="1" applyFont="1">
      <alignment horizontal="center" readingOrder="0" vertical="center"/>
    </xf>
    <xf borderId="5" fillId="0" fontId="5" numFmtId="0" xfId="0" applyAlignment="1" applyBorder="1" applyFont="1">
      <alignment horizontal="left" readingOrder="0" vertical="center"/>
    </xf>
    <xf borderId="0" fillId="0" fontId="1" numFmtId="20" xfId="0" applyAlignment="1" applyFont="1" applyNumberFormat="1">
      <alignment horizontal="center"/>
    </xf>
    <xf borderId="0" fillId="0" fontId="1" numFmtId="166" xfId="0" applyFont="1" applyNumberFormat="1"/>
    <xf borderId="0" fillId="10" fontId="6" numFmtId="167" xfId="0" applyAlignment="1" applyFill="1" applyFont="1" applyNumberFormat="1">
      <alignment vertical="center"/>
    </xf>
    <xf borderId="0" fillId="2" fontId="1" numFmtId="0" xfId="0" applyFont="1"/>
    <xf borderId="6" fillId="0" fontId="5" numFmtId="0" xfId="0" applyAlignment="1" applyBorder="1" applyFont="1">
      <alignment horizontal="left" vertical="center"/>
    </xf>
    <xf borderId="0" fillId="2" fontId="1" numFmtId="166" xfId="0" applyAlignment="1" applyFont="1" applyNumberFormat="1">
      <alignment readingOrder="0"/>
    </xf>
    <xf borderId="7" fillId="11" fontId="0" numFmtId="0" xfId="0" applyAlignment="1" applyBorder="1" applyFill="1" applyFont="1">
      <alignment horizontal="center" vertical="bottom"/>
    </xf>
    <xf borderId="0" fillId="10" fontId="6" numFmtId="0" xfId="0" applyAlignment="1" applyFont="1">
      <alignment vertical="bottom"/>
    </xf>
    <xf borderId="0" fillId="10" fontId="6" numFmtId="165" xfId="0" applyAlignment="1" applyFont="1" applyNumberFormat="1">
      <alignment vertical="bottom"/>
    </xf>
    <xf borderId="0" fillId="2" fontId="1" numFmtId="166" xfId="0" applyFont="1" applyNumberFormat="1"/>
    <xf borderId="0" fillId="10" fontId="6" numFmtId="0" xfId="0" applyAlignment="1" applyFont="1">
      <alignment vertical="bottom"/>
    </xf>
    <xf borderId="0" fillId="0" fontId="2" numFmtId="167" xfId="0" applyAlignment="1" applyFont="1" applyNumberFormat="1">
      <alignment vertical="center"/>
    </xf>
    <xf borderId="8" fillId="12" fontId="7" numFmtId="49" xfId="0" applyAlignment="1" applyBorder="1" applyFill="1" applyFont="1" applyNumberFormat="1">
      <alignment horizontal="center" vertical="center"/>
    </xf>
    <xf borderId="0" fillId="4" fontId="1" numFmtId="0" xfId="0" applyAlignment="1" applyFont="1">
      <alignment horizontal="center"/>
    </xf>
    <xf borderId="9" fillId="0" fontId="1" numFmtId="0" xfId="0" applyBorder="1" applyFont="1"/>
    <xf borderId="0" fillId="5" fontId="2" numFmtId="0" xfId="0" applyAlignment="1" applyFont="1">
      <alignment horizontal="center" readingOrder="0" vertical="center"/>
    </xf>
    <xf borderId="0" fillId="1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readingOrder="0"/>
    </xf>
    <xf borderId="10" fillId="0" fontId="1" numFmtId="0" xfId="0" applyBorder="1" applyFont="1"/>
    <xf borderId="0" fillId="3" fontId="1" numFmtId="9" xfId="0" applyAlignment="1" applyFont="1" applyNumberFormat="1">
      <alignment readingOrder="0"/>
    </xf>
    <xf borderId="8" fillId="14" fontId="7" numFmtId="49" xfId="0" applyAlignment="1" applyBorder="1" applyFill="1" applyFont="1" applyNumberFormat="1">
      <alignment horizontal="center" vertical="center"/>
    </xf>
    <xf borderId="8" fillId="15" fontId="7" numFmtId="49" xfId="0" applyAlignment="1" applyBorder="1" applyFill="1" applyFont="1" applyNumberFormat="1">
      <alignment horizontal="center" shrinkToFit="0" vertical="bottom" wrapText="1"/>
    </xf>
    <xf borderId="0" fillId="11" fontId="1" numFmtId="0" xfId="0" applyAlignment="1" applyFont="1">
      <alignment readingOrder="0"/>
    </xf>
    <xf borderId="11" fillId="0" fontId="1" numFmtId="0" xfId="0" applyBorder="1" applyFont="1"/>
    <xf borderId="12" fillId="16" fontId="8" numFmtId="49" xfId="0" applyAlignment="1" applyBorder="1" applyFill="1" applyFont="1" applyNumberFormat="1">
      <alignment horizontal="center" vertical="center"/>
    </xf>
    <xf borderId="12" fillId="16" fontId="8" numFmtId="49" xfId="0" applyAlignment="1" applyBorder="1" applyFont="1" applyNumberFormat="1">
      <alignment horizontal="center" shrinkToFit="0" vertical="center" wrapText="1"/>
    </xf>
    <xf borderId="13" fillId="12" fontId="9" numFmtId="168" xfId="0" applyAlignment="1" applyBorder="1" applyFont="1" applyNumberFormat="1">
      <alignment horizontal="center" vertical="center"/>
    </xf>
    <xf borderId="0" fillId="0" fontId="2" numFmtId="166" xfId="0" applyFont="1" applyNumberFormat="1"/>
    <xf borderId="0" fillId="0" fontId="2" numFmtId="0" xfId="0" applyFont="1"/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166" xfId="0" applyAlignment="1" applyFont="1" applyNumberFormat="1">
      <alignment horizontal="right" vertical="bottom"/>
    </xf>
    <xf borderId="0" fillId="17" fontId="1" numFmtId="0" xfId="0" applyAlignment="1" applyFill="1" applyFont="1">
      <alignment horizontal="center" readingOrder="0" vertical="center"/>
    </xf>
    <xf borderId="0" fillId="0" fontId="1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1" numFmtId="9" xfId="0" applyAlignment="1" applyFont="1" applyNumberFormat="1">
      <alignment horizontal="right" vertical="bottom"/>
    </xf>
    <xf borderId="0" fillId="10" fontId="1" numFmtId="167" xfId="0" applyAlignment="1" applyFont="1" applyNumberFormat="1">
      <alignment vertical="center"/>
    </xf>
    <xf borderId="0" fillId="0" fontId="11" numFmtId="9" xfId="0" applyAlignment="1" applyFont="1" applyNumberFormat="1">
      <alignment horizontal="right" readingOrder="0" vertical="bottom"/>
    </xf>
    <xf borderId="0" fillId="10" fontId="1" numFmtId="0" xfId="0" applyAlignment="1" applyFont="1">
      <alignment horizontal="center"/>
    </xf>
    <xf borderId="0" fillId="10" fontId="1" numFmtId="165" xfId="0" applyAlignment="1" applyFont="1" applyNumberFormat="1">
      <alignment horizontal="center"/>
    </xf>
    <xf borderId="0" fillId="10" fontId="1" numFmtId="0" xfId="0" applyAlignment="1" applyFont="1">
      <alignment horizontal="center"/>
    </xf>
    <xf borderId="0" fillId="0" fontId="1" numFmtId="167" xfId="0" applyAlignment="1" applyFont="1" applyNumberFormat="1">
      <alignment vertical="center"/>
    </xf>
    <xf borderId="0" fillId="18" fontId="1" numFmtId="0" xfId="0" applyAlignment="1" applyFill="1" applyFont="1">
      <alignment horizontal="center" readingOrder="0" shrinkToFit="0" vertical="center" wrapText="0"/>
    </xf>
    <xf borderId="0" fillId="8" fontId="2" numFmtId="0" xfId="0" applyAlignment="1" applyFont="1">
      <alignment horizontal="center" readingOrder="0" vertical="center"/>
    </xf>
    <xf borderId="0" fillId="7" fontId="2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1" numFmtId="10" xfId="0" applyAlignment="1" applyFont="1" applyNumberFormat="1">
      <alignment readingOrder="0" vertical="bottom"/>
    </xf>
    <xf borderId="14" fillId="0" fontId="1" numFmtId="0" xfId="0" applyBorder="1" applyFont="1"/>
    <xf borderId="0" fillId="0" fontId="11" numFmtId="166" xfId="0" applyAlignment="1" applyFont="1" applyNumberFormat="1">
      <alignment vertical="bottom"/>
    </xf>
    <xf borderId="15" fillId="0" fontId="1" numFmtId="0" xfId="0" applyBorder="1" applyFont="1"/>
    <xf borderId="0" fillId="0" fontId="1" numFmtId="167" xfId="0" applyAlignment="1" applyFont="1" applyNumberFormat="1">
      <alignment readingOrder="0" vertical="center"/>
    </xf>
    <xf borderId="16" fillId="0" fontId="1" numFmtId="0" xfId="0" applyBorder="1" applyFont="1"/>
    <xf borderId="0" fillId="0" fontId="1" numFmtId="10" xfId="0" applyAlignment="1" applyFont="1" applyNumberFormat="1">
      <alignment readingOrder="0"/>
    </xf>
    <xf borderId="17" fillId="12" fontId="9" numFmtId="168" xfId="0" applyAlignment="1" applyBorder="1" applyFont="1" applyNumberFormat="1">
      <alignment horizontal="center" vertical="center"/>
    </xf>
    <xf borderId="0" fillId="0" fontId="11" numFmtId="10" xfId="0" applyAlignment="1" applyFont="1" applyNumberForma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17" fillId="14" fontId="9" numFmtId="168" xfId="0" applyAlignment="1" applyBorder="1" applyFont="1" applyNumberFormat="1">
      <alignment horizontal="center" vertical="center"/>
    </xf>
    <xf borderId="17" fillId="19" fontId="9" numFmtId="168" xfId="0" applyAlignment="1" applyBorder="1" applyFill="1" applyFont="1" applyNumberFormat="1">
      <alignment horizontal="center" vertical="center"/>
    </xf>
    <xf borderId="12" fillId="12" fontId="7" numFmtId="49" xfId="0" applyAlignment="1" applyBorder="1" applyFont="1" applyNumberFormat="1">
      <alignment horizontal="center" vertical="center"/>
    </xf>
    <xf borderId="18" fillId="20" fontId="12" numFmtId="49" xfId="0" applyAlignment="1" applyBorder="1" applyFill="1" applyFont="1" applyNumberFormat="1">
      <alignment horizontal="left" vertical="center"/>
    </xf>
    <xf borderId="18" fillId="20" fontId="0" numFmtId="0" xfId="0" applyAlignment="1" applyBorder="1" applyFont="1">
      <alignment vertical="bottom"/>
    </xf>
    <xf borderId="18" fillId="20" fontId="13" numFmtId="0" xfId="0" applyAlignment="1" applyBorder="1" applyFont="1">
      <alignment vertical="bottom"/>
    </xf>
    <xf borderId="18" fillId="20" fontId="14" numFmtId="0" xfId="0" applyAlignment="1" applyBorder="1" applyFont="1">
      <alignment vertical="bottom"/>
    </xf>
    <xf borderId="18" fillId="20" fontId="15" numFmtId="0" xfId="0" applyAlignment="1" applyBorder="1" applyFont="1">
      <alignment vertical="bottom"/>
    </xf>
    <xf borderId="19" fillId="11" fontId="0" numFmtId="49" xfId="0" applyAlignment="1" applyBorder="1" applyFont="1" applyNumberFormat="1">
      <alignment horizontal="left" vertical="center"/>
    </xf>
    <xf borderId="19" fillId="0" fontId="0" numFmtId="0" xfId="0" applyAlignment="1" applyBorder="1" applyFont="1">
      <alignment readingOrder="0" vertical="bottom"/>
    </xf>
    <xf borderId="19" fillId="0" fontId="13" numFmtId="0" xfId="0" applyAlignment="1" applyBorder="1" applyFont="1">
      <alignment readingOrder="0" vertical="bottom"/>
    </xf>
    <xf borderId="19" fillId="0" fontId="13" numFmtId="0" xfId="0" applyAlignment="1" applyBorder="1" applyFont="1">
      <alignment vertical="bottom"/>
    </xf>
    <xf borderId="19" fillId="0" fontId="14" numFmtId="0" xfId="0" applyAlignment="1" applyBorder="1" applyFont="1">
      <alignment vertical="bottom"/>
    </xf>
    <xf borderId="19" fillId="0" fontId="15" numFmtId="0" xfId="0" applyAlignment="1" applyBorder="1" applyFont="1">
      <alignment vertical="bottom"/>
    </xf>
    <xf borderId="19" fillId="0" fontId="0" numFmtId="0" xfId="0" applyAlignment="1" applyBorder="1" applyFont="1">
      <alignment shrinkToFit="0" vertical="bottom" wrapText="1"/>
    </xf>
    <xf borderId="0" fillId="11" fontId="1" numFmtId="0" xfId="0" applyFont="1"/>
    <xf borderId="19" fillId="0" fontId="0" numFmtId="0" xfId="0" applyAlignment="1" applyBorder="1" applyFont="1">
      <alignment vertical="bottom"/>
    </xf>
    <xf borderId="0" fillId="11" fontId="16" numFmtId="0" xfId="0" applyAlignment="1" applyFont="1">
      <alignment horizontal="center" readingOrder="0"/>
    </xf>
    <xf borderId="0" fillId="21" fontId="2" numFmtId="0" xfId="0" applyAlignment="1" applyFill="1" applyFont="1">
      <alignment horizontal="center" readingOrder="0"/>
    </xf>
    <xf borderId="0" fillId="22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3" fontId="2" numFmtId="0" xfId="0" applyAlignment="1" applyFill="1" applyFont="1">
      <alignment readingOrder="0"/>
    </xf>
    <xf borderId="0" fillId="24" fontId="2" numFmtId="0" xfId="0" applyAlignment="1" applyFill="1" applyFont="1">
      <alignment readingOrder="0"/>
    </xf>
    <xf borderId="0" fillId="21" fontId="2" numFmtId="0" xfId="0" applyAlignment="1" applyFont="1">
      <alignment readingOrder="0"/>
    </xf>
    <xf borderId="0" fillId="10" fontId="2" numFmtId="0" xfId="0" applyAlignment="1" applyFont="1">
      <alignment readingOrder="0"/>
    </xf>
    <xf borderId="0" fillId="25" fontId="2" numFmtId="0" xfId="0" applyAlignment="1" applyFill="1" applyFont="1">
      <alignment readingOrder="0"/>
    </xf>
    <xf borderId="0" fillId="8" fontId="2" numFmtId="0" xfId="0" applyAlignment="1" applyFont="1">
      <alignment readingOrder="0"/>
    </xf>
    <xf borderId="0" fillId="21" fontId="1" numFmtId="166" xfId="0" applyAlignment="1" applyFont="1" applyNumberFormat="1">
      <alignment horizontal="center" readingOrder="0"/>
    </xf>
    <xf borderId="0" fillId="22" fontId="1" numFmtId="10" xfId="0" applyAlignment="1" applyFont="1" applyNumberFormat="1">
      <alignment readingOrder="0"/>
    </xf>
    <xf borderId="0" fillId="3" fontId="1" numFmtId="166" xfId="0" applyFont="1" applyNumberFormat="1"/>
    <xf borderId="0" fillId="23" fontId="1" numFmtId="0" xfId="0" applyAlignment="1" applyFont="1">
      <alignment horizontal="center" readingOrder="0"/>
    </xf>
    <xf borderId="0" fillId="24" fontId="1" numFmtId="0" xfId="0" applyAlignment="1" applyFont="1">
      <alignment horizontal="center" readingOrder="0"/>
    </xf>
    <xf borderId="0" fillId="24" fontId="1" numFmtId="0" xfId="0" applyAlignment="1" applyFont="1">
      <alignment readingOrder="0"/>
    </xf>
    <xf borderId="0" fillId="26" fontId="1" numFmtId="0" xfId="0" applyAlignment="1" applyFill="1" applyFont="1">
      <alignment readingOrder="0"/>
    </xf>
    <xf borderId="0" fillId="27" fontId="1" numFmtId="0" xfId="0" applyAlignment="1" applyFill="1" applyFont="1">
      <alignment readingOrder="0"/>
    </xf>
    <xf borderId="0" fillId="21" fontId="1" numFmtId="166" xfId="0" applyFont="1" applyNumberFormat="1"/>
    <xf borderId="0" fillId="28" fontId="1" numFmtId="0" xfId="0" applyAlignment="1" applyFill="1" applyFont="1">
      <alignment readingOrder="0"/>
    </xf>
    <xf borderId="0" fillId="29" fontId="1" numFmtId="0" xfId="0" applyAlignment="1" applyFill="1" applyFont="1">
      <alignment readingOrder="0"/>
    </xf>
    <xf borderId="0" fillId="10" fontId="1" numFmtId="166" xfId="0" applyFont="1" applyNumberFormat="1"/>
    <xf borderId="0" fillId="30" fontId="1" numFmtId="0" xfId="0" applyFill="1" applyFont="1"/>
    <xf borderId="0" fillId="25" fontId="1" numFmtId="166" xfId="0" applyFont="1" applyNumberFormat="1"/>
    <xf borderId="0" fillId="28" fontId="1" numFmtId="11" xfId="0" applyAlignment="1" applyFont="1" applyNumberFormat="1">
      <alignment readingOrder="0"/>
    </xf>
    <xf borderId="0" fillId="30" fontId="1" numFmtId="0" xfId="0" applyAlignment="1" applyFont="1">
      <alignment readingOrder="0"/>
    </xf>
    <xf borderId="0" fillId="13" fontId="1" numFmtId="0" xfId="0" applyAlignment="1" applyFont="1">
      <alignment readingOrder="0"/>
    </xf>
    <xf borderId="0" fillId="8" fontId="1" numFmtId="166" xfId="0" applyFont="1" applyNumberFormat="1"/>
    <xf borderId="20" fillId="11" fontId="0" numFmtId="49" xfId="0" applyAlignment="1" applyBorder="1" applyFont="1" applyNumberFormat="1">
      <alignment horizontal="left" vertical="center"/>
    </xf>
    <xf borderId="20" fillId="0" fontId="0" numFmtId="0" xfId="0" applyAlignment="1" applyBorder="1" applyFont="1">
      <alignment readingOrder="0" vertical="bottom"/>
    </xf>
    <xf borderId="20" fillId="0" fontId="13" numFmtId="0" xfId="0" applyAlignment="1" applyBorder="1" applyFont="1">
      <alignment readingOrder="0" vertical="bottom"/>
    </xf>
    <xf borderId="20" fillId="0" fontId="13" numFmtId="0" xfId="0" applyAlignment="1" applyBorder="1" applyFont="1">
      <alignment vertical="bottom"/>
    </xf>
    <xf borderId="20" fillId="0" fontId="14" numFmtId="0" xfId="0" applyAlignment="1" applyBorder="1" applyFont="1">
      <alignment vertical="bottom"/>
    </xf>
    <xf borderId="0" fillId="31" fontId="1" numFmtId="0" xfId="0" applyAlignment="1" applyFill="1" applyFont="1">
      <alignment readingOrder="0"/>
    </xf>
    <xf borderId="20" fillId="0" fontId="15" numFmtId="0" xfId="0" applyAlignment="1" applyBorder="1" applyFont="1">
      <alignment vertical="bottom"/>
    </xf>
    <xf borderId="0" fillId="21" fontId="1" numFmtId="0" xfId="0" applyAlignment="1" applyFont="1">
      <alignment readingOrder="0"/>
    </xf>
    <xf borderId="20" fillId="0" fontId="0" numFmtId="0" xfId="0" applyAlignment="1" applyBorder="1" applyFont="1">
      <alignment vertical="bottom"/>
    </xf>
    <xf borderId="19" fillId="20" fontId="12" numFmtId="49" xfId="0" applyAlignment="1" applyBorder="1" applyFont="1" applyNumberFormat="1">
      <alignment horizontal="left" vertical="center"/>
    </xf>
    <xf borderId="19" fillId="20" fontId="0" numFmtId="0" xfId="0" applyAlignment="1" applyBorder="1" applyFont="1">
      <alignment vertical="bottom"/>
    </xf>
    <xf borderId="19" fillId="20" fontId="13" numFmtId="0" xfId="0" applyAlignment="1" applyBorder="1" applyFont="1">
      <alignment vertical="bottom"/>
    </xf>
    <xf borderId="19" fillId="20" fontId="14" numFmtId="0" xfId="0" applyAlignment="1" applyBorder="1" applyFont="1">
      <alignment vertical="bottom"/>
    </xf>
    <xf borderId="19" fillId="20" fontId="15" numFmtId="0" xfId="0" applyAlignment="1" applyBorder="1" applyFont="1">
      <alignment vertical="bottom"/>
    </xf>
    <xf borderId="0" fillId="21" fontId="1" numFmtId="0" xfId="0" applyAlignment="1" applyFont="1">
      <alignment horizontal="center"/>
    </xf>
    <xf borderId="19" fillId="0" fontId="0" numFmtId="49" xfId="0" applyAlignment="1" applyBorder="1" applyFont="1" applyNumberFormat="1">
      <alignment vertical="bottom"/>
    </xf>
    <xf borderId="0" fillId="22" fontId="1" numFmtId="0" xfId="0" applyFont="1"/>
    <xf borderId="19" fillId="11" fontId="0" numFmtId="49" xfId="0" applyAlignment="1" applyBorder="1" applyFont="1" applyNumberFormat="1">
      <alignment vertical="bottom"/>
    </xf>
    <xf borderId="0" fillId="2" fontId="2" numFmtId="166" xfId="0" applyFont="1" applyNumberFormat="1"/>
    <xf borderId="19" fillId="11" fontId="13" numFmtId="0" xfId="0" applyAlignment="1" applyBorder="1" applyFont="1">
      <alignment vertical="bottom"/>
    </xf>
    <xf borderId="0" fillId="23" fontId="2" numFmtId="0" xfId="0" applyFont="1"/>
    <xf borderId="19" fillId="11" fontId="14" numFmtId="0" xfId="0" applyAlignment="1" applyBorder="1" applyFont="1">
      <alignment vertical="bottom"/>
    </xf>
    <xf borderId="0" fillId="24" fontId="2" numFmtId="0" xfId="0" applyFont="1"/>
    <xf borderId="19" fillId="11" fontId="15" numFmtId="0" xfId="0" applyAlignment="1" applyBorder="1" applyFont="1">
      <alignment vertical="bottom"/>
    </xf>
    <xf borderId="0" fillId="21" fontId="2" numFmtId="166" xfId="0" applyFont="1" applyNumberFormat="1"/>
    <xf borderId="19" fillId="11" fontId="0" numFmtId="0" xfId="0" applyAlignment="1" applyBorder="1" applyFont="1">
      <alignment vertical="bottom"/>
    </xf>
    <xf borderId="0" fillId="10" fontId="2" numFmtId="166" xfId="0" applyFont="1" applyNumberFormat="1"/>
    <xf borderId="0" fillId="25" fontId="2" numFmtId="166" xfId="0" applyFont="1" applyNumberFormat="1"/>
    <xf borderId="0" fillId="8" fontId="2" numFmtId="166" xfId="0" applyFont="1" applyNumberFormat="1"/>
    <xf borderId="0" fillId="11" fontId="1" numFmtId="0" xfId="0" applyAlignment="1" applyFont="1">
      <alignment horizontal="center"/>
    </xf>
    <xf borderId="19" fillId="20" fontId="12" numFmtId="0" xfId="0" applyAlignment="1" applyBorder="1" applyFont="1">
      <alignment vertical="bottom"/>
    </xf>
    <xf borderId="19" fillId="11" fontId="0" numFmtId="49" xfId="0" applyAlignment="1" applyBorder="1" applyFont="1" applyNumberFormat="1">
      <alignment horizontal="left" readingOrder="0" vertical="center"/>
    </xf>
    <xf borderId="19" fillId="0" fontId="0" numFmtId="49" xfId="0" applyAlignment="1" applyBorder="1" applyFont="1" applyNumberFormat="1">
      <alignment horizontal="left" vertical="center"/>
    </xf>
    <xf borderId="19" fillId="11" fontId="0" numFmtId="0" xfId="0" applyAlignment="1" applyBorder="1" applyFont="1">
      <alignment horizontal="left" vertical="center"/>
    </xf>
    <xf borderId="0" fillId="3" fontId="16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19" fillId="11" fontId="0" numFmtId="0" xfId="0" applyAlignment="1" applyBorder="1" applyFont="1">
      <alignment readingOrder="0" vertical="bottom"/>
    </xf>
    <xf borderId="21" fillId="11" fontId="0" numFmtId="49" xfId="0" applyAlignment="1" applyBorder="1" applyFont="1" applyNumberFormat="1">
      <alignment horizontal="left" vertical="center"/>
    </xf>
    <xf borderId="21" fillId="0" fontId="0" numFmtId="0" xfId="0" applyAlignment="1" applyBorder="1" applyFont="1">
      <alignment readingOrder="0" vertical="bottom"/>
    </xf>
    <xf borderId="21" fillId="0" fontId="13" numFmtId="0" xfId="0" applyAlignment="1" applyBorder="1" applyFont="1">
      <alignment vertical="bottom"/>
    </xf>
    <xf borderId="21" fillId="0" fontId="14" numFmtId="0" xfId="0" applyAlignment="1" applyBorder="1" applyFont="1">
      <alignment vertical="bottom"/>
    </xf>
    <xf borderId="21" fillId="0" fontId="15" numFmtId="0" xfId="0" applyAlignment="1" applyBorder="1" applyFont="1">
      <alignment vertical="bottom"/>
    </xf>
    <xf borderId="21" fillId="0" fontId="0" numFmtId="0" xfId="0" applyAlignment="1" applyBorder="1" applyFont="1">
      <alignment vertical="bottom"/>
    </xf>
    <xf borderId="22" fillId="20" fontId="12" numFmtId="49" xfId="0" applyAlignment="1" applyBorder="1" applyFont="1" applyNumberFormat="1">
      <alignment horizontal="left" vertical="center"/>
    </xf>
    <xf borderId="22" fillId="20" fontId="0" numFmtId="0" xfId="0" applyAlignment="1" applyBorder="1" applyFont="1">
      <alignment vertical="bottom"/>
    </xf>
    <xf borderId="22" fillId="20" fontId="13" numFmtId="0" xfId="0" applyAlignment="1" applyBorder="1" applyFont="1">
      <alignment vertical="bottom"/>
    </xf>
    <xf borderId="22" fillId="20" fontId="14" numFmtId="0" xfId="0" applyAlignment="1" applyBorder="1" applyFont="1">
      <alignment vertical="bottom"/>
    </xf>
    <xf borderId="22" fillId="20" fontId="15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7.71"/>
    <col customWidth="1" min="2" max="2" width="23.29"/>
    <col customWidth="1" hidden="1" min="3" max="3" width="3.43"/>
    <col customWidth="1" hidden="1" min="4" max="4" width="3.0"/>
    <col customWidth="1" hidden="1" min="5" max="44" width="2.29"/>
    <col customWidth="1" min="45" max="56" width="2.29"/>
    <col customWidth="1" min="57" max="57" width="3.29"/>
    <col customWidth="1" min="58" max="58" width="2.86"/>
    <col customWidth="1" min="59" max="59" width="3.29"/>
    <col customWidth="1" min="60" max="60" width="4.57"/>
    <col customWidth="1" min="61" max="61" width="37.57"/>
    <col customWidth="1" min="62" max="71" width="8.86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</row>
    <row r="2" ht="40.5" customHeight="1">
      <c r="A2" s="14" t="s">
        <v>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20"/>
      <c r="BJ2" s="4"/>
      <c r="BK2" s="4"/>
      <c r="BL2" s="4"/>
      <c r="BM2" s="4"/>
      <c r="BN2" s="4"/>
      <c r="BO2" s="4"/>
      <c r="BP2" s="4"/>
      <c r="BQ2" s="4"/>
      <c r="BR2" s="4"/>
      <c r="BS2" s="4"/>
    </row>
    <row r="3" ht="94.5" customHeight="1">
      <c r="A3" s="22" t="s">
        <v>18</v>
      </c>
      <c r="B3" s="24"/>
      <c r="C3" s="26"/>
      <c r="D3" s="26"/>
      <c r="E3" s="26"/>
      <c r="F3" s="26"/>
      <c r="G3" s="26"/>
      <c r="H3" s="26"/>
      <c r="I3" s="26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8" t="s">
        <v>22</v>
      </c>
      <c r="AR3" s="24"/>
      <c r="AS3" s="24"/>
      <c r="AT3" s="24"/>
      <c r="AU3" s="24"/>
      <c r="AV3" s="24"/>
      <c r="AW3" s="24"/>
      <c r="AX3" s="24"/>
      <c r="AY3" s="24"/>
      <c r="AZ3" s="24"/>
      <c r="BA3" s="26"/>
      <c r="BB3" s="26"/>
      <c r="BC3" s="26"/>
      <c r="BD3" s="26"/>
      <c r="BE3" s="24"/>
      <c r="BF3" s="24"/>
      <c r="BG3" s="24"/>
      <c r="BH3" s="24"/>
      <c r="BI3" s="33"/>
      <c r="BJ3" s="4"/>
      <c r="BK3" s="4"/>
      <c r="BL3" s="4"/>
      <c r="BM3" s="4"/>
      <c r="BN3" s="4"/>
      <c r="BO3" s="4"/>
      <c r="BP3" s="4"/>
      <c r="BQ3" s="4"/>
      <c r="BR3" s="4"/>
      <c r="BS3" s="4"/>
    </row>
    <row r="4" ht="35.25" customHeight="1">
      <c r="A4" s="35"/>
      <c r="B4" s="35"/>
      <c r="C4" s="41" t="s">
        <v>27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7"/>
      <c r="AK4" s="49" t="s">
        <v>31</v>
      </c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7"/>
      <c r="BE4" s="50" t="s">
        <v>34</v>
      </c>
      <c r="BF4" s="43"/>
      <c r="BG4" s="43"/>
      <c r="BH4" s="47"/>
      <c r="BI4" s="52"/>
      <c r="BJ4" s="4"/>
      <c r="BK4" s="4"/>
      <c r="BL4" s="4"/>
      <c r="BM4" s="4"/>
      <c r="BN4" s="4"/>
      <c r="BO4" s="4"/>
      <c r="BP4" s="4"/>
      <c r="BQ4" s="4"/>
      <c r="BR4" s="4"/>
      <c r="BS4" s="4"/>
    </row>
    <row r="5" ht="17.25" customHeight="1">
      <c r="A5" s="53" t="s">
        <v>36</v>
      </c>
      <c r="B5" s="54" t="s">
        <v>38</v>
      </c>
      <c r="C5" s="55">
        <v>42948.0</v>
      </c>
      <c r="D5" s="77"/>
      <c r="E5" s="55">
        <v>42979.0</v>
      </c>
      <c r="F5" s="79"/>
      <c r="G5" s="79"/>
      <c r="H5" s="77"/>
      <c r="I5" s="55">
        <v>43009.0</v>
      </c>
      <c r="J5" s="79"/>
      <c r="K5" s="79"/>
      <c r="L5" s="81"/>
      <c r="M5" s="83">
        <v>43040.0</v>
      </c>
      <c r="N5" s="79"/>
      <c r="O5" s="79"/>
      <c r="P5" s="81"/>
      <c r="Q5" s="83">
        <v>43070.0</v>
      </c>
      <c r="R5" s="79"/>
      <c r="S5" s="79"/>
      <c r="T5" s="81"/>
      <c r="U5" s="83">
        <v>43101.0</v>
      </c>
      <c r="V5" s="79"/>
      <c r="W5" s="79"/>
      <c r="X5" s="81"/>
      <c r="Y5" s="83">
        <v>43132.0</v>
      </c>
      <c r="Z5" s="79"/>
      <c r="AA5" s="79"/>
      <c r="AB5" s="81"/>
      <c r="AC5" s="83">
        <v>43160.0</v>
      </c>
      <c r="AD5" s="79"/>
      <c r="AE5" s="79"/>
      <c r="AF5" s="81"/>
      <c r="AG5" s="83">
        <v>43191.0</v>
      </c>
      <c r="AH5" s="79"/>
      <c r="AI5" s="79"/>
      <c r="AJ5" s="81"/>
      <c r="AK5" s="86">
        <v>43221.0</v>
      </c>
      <c r="AL5" s="79"/>
      <c r="AM5" s="79"/>
      <c r="AN5" s="81"/>
      <c r="AO5" s="86">
        <v>43252.0</v>
      </c>
      <c r="AP5" s="79"/>
      <c r="AQ5" s="79"/>
      <c r="AR5" s="81"/>
      <c r="AS5" s="86">
        <v>43282.0</v>
      </c>
      <c r="AT5" s="79"/>
      <c r="AU5" s="79"/>
      <c r="AV5" s="81"/>
      <c r="AW5" s="86">
        <v>43313.0</v>
      </c>
      <c r="AX5" s="79"/>
      <c r="AY5" s="79"/>
      <c r="AZ5" s="81"/>
      <c r="BA5" s="86">
        <v>43344.0</v>
      </c>
      <c r="BB5" s="79"/>
      <c r="BC5" s="79"/>
      <c r="BD5" s="81"/>
      <c r="BE5" s="87">
        <v>43374.0</v>
      </c>
      <c r="BF5" s="79"/>
      <c r="BG5" s="79"/>
      <c r="BH5" s="77"/>
      <c r="BI5" s="88" t="s">
        <v>70</v>
      </c>
      <c r="BJ5" s="4"/>
      <c r="BK5" s="4"/>
      <c r="BL5" s="4"/>
      <c r="BM5" s="4"/>
      <c r="BN5" s="4"/>
      <c r="BO5" s="4"/>
      <c r="BP5" s="4"/>
      <c r="BQ5" s="4"/>
      <c r="BR5" s="4"/>
      <c r="BS5" s="4"/>
    </row>
    <row r="6" ht="16.5" customHeight="1">
      <c r="A6" s="89" t="s">
        <v>71</v>
      </c>
      <c r="B6" s="90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3"/>
      <c r="BF6" s="93"/>
      <c r="BG6" s="93"/>
      <c r="BH6" s="93"/>
      <c r="BI6" s="90"/>
      <c r="BJ6" s="4"/>
      <c r="BK6" s="4"/>
      <c r="BL6" s="4"/>
      <c r="BM6" s="4"/>
      <c r="BN6" s="4"/>
      <c r="BO6" s="4"/>
      <c r="BP6" s="4"/>
      <c r="BQ6" s="4"/>
      <c r="BR6" s="4"/>
      <c r="BS6" s="4"/>
    </row>
    <row r="7" ht="16.5" customHeight="1">
      <c r="A7" s="94" t="s">
        <v>72</v>
      </c>
      <c r="B7" s="95" t="s">
        <v>73</v>
      </c>
      <c r="C7" s="96" t="s">
        <v>74</v>
      </c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6" t="s">
        <v>74</v>
      </c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  <c r="BF7" s="99"/>
      <c r="BG7" s="99"/>
      <c r="BH7" s="99"/>
      <c r="BI7" s="100"/>
      <c r="BJ7" s="4"/>
      <c r="BK7" s="4"/>
      <c r="BL7" s="4"/>
      <c r="BM7" s="4"/>
      <c r="BN7" s="4"/>
      <c r="BO7" s="4"/>
      <c r="BP7" s="4"/>
      <c r="BQ7" s="4"/>
      <c r="BR7" s="4"/>
      <c r="BS7" s="4"/>
    </row>
    <row r="8" ht="16.5" customHeight="1">
      <c r="A8" s="94" t="s">
        <v>75</v>
      </c>
      <c r="B8" s="95" t="s">
        <v>76</v>
      </c>
      <c r="C8" s="96" t="s">
        <v>74</v>
      </c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6" t="s">
        <v>74</v>
      </c>
      <c r="V8" s="97"/>
      <c r="W8" s="97"/>
      <c r="X8" s="96" t="s">
        <v>74</v>
      </c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  <c r="BF8" s="99"/>
      <c r="BG8" s="99"/>
      <c r="BH8" s="99"/>
      <c r="BI8" s="102"/>
      <c r="BJ8" s="4"/>
      <c r="BK8" s="4"/>
      <c r="BL8" s="4"/>
      <c r="BM8" s="4"/>
      <c r="BN8" s="4"/>
      <c r="BO8" s="4"/>
      <c r="BP8" s="4"/>
      <c r="BQ8" s="4"/>
      <c r="BR8" s="4"/>
      <c r="BS8" s="4"/>
    </row>
    <row r="9" ht="16.5" customHeight="1">
      <c r="A9" s="94" t="s">
        <v>78</v>
      </c>
      <c r="B9" s="95" t="s">
        <v>76</v>
      </c>
      <c r="C9" s="96" t="s">
        <v>74</v>
      </c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6"/>
      <c r="V9" s="97"/>
      <c r="W9" s="97"/>
      <c r="X9" s="96" t="s">
        <v>74</v>
      </c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  <c r="BF9" s="99"/>
      <c r="BG9" s="99"/>
      <c r="BH9" s="99"/>
      <c r="BI9" s="102"/>
      <c r="BJ9" s="4"/>
      <c r="BK9" s="4"/>
      <c r="BL9" s="4"/>
      <c r="BM9" s="4"/>
      <c r="BN9" s="4"/>
      <c r="BO9" s="4"/>
      <c r="BP9" s="4"/>
      <c r="BQ9" s="4"/>
      <c r="BR9" s="4"/>
      <c r="BS9" s="4"/>
    </row>
    <row r="10" ht="16.5" customHeight="1">
      <c r="A10" s="94" t="s">
        <v>79</v>
      </c>
      <c r="B10" s="95" t="s">
        <v>76</v>
      </c>
      <c r="C10" s="96" t="s">
        <v>74</v>
      </c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6" t="s">
        <v>74</v>
      </c>
      <c r="V10" s="97"/>
      <c r="W10" s="96" t="s">
        <v>74</v>
      </c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  <c r="BF10" s="99"/>
      <c r="BG10" s="99"/>
      <c r="BH10" s="99"/>
      <c r="BI10" s="102"/>
      <c r="BJ10" s="4"/>
      <c r="BK10" s="4"/>
      <c r="BL10" s="4"/>
      <c r="BM10" s="4"/>
      <c r="BN10" s="4"/>
      <c r="BO10" s="4"/>
      <c r="BP10" s="4"/>
      <c r="BQ10" s="4"/>
      <c r="BR10" s="4"/>
      <c r="BS10" s="4"/>
    </row>
    <row r="11" ht="16.5" customHeight="1">
      <c r="A11" s="94" t="s">
        <v>82</v>
      </c>
      <c r="B11" s="95" t="s">
        <v>83</v>
      </c>
      <c r="C11" s="96" t="s">
        <v>74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6" t="s">
        <v>74</v>
      </c>
      <c r="V11" s="97"/>
      <c r="W11" s="97"/>
      <c r="X11" s="97"/>
      <c r="Y11" s="97"/>
      <c r="Z11" s="97"/>
      <c r="AA11" s="97"/>
      <c r="AB11" s="96" t="s">
        <v>74</v>
      </c>
      <c r="AC11" s="97"/>
      <c r="AD11" s="97"/>
      <c r="AE11" s="97"/>
      <c r="AF11" s="97"/>
      <c r="AG11" s="97"/>
      <c r="AH11" s="97"/>
      <c r="AI11" s="97"/>
      <c r="AJ11" s="97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  <c r="BF11" s="99"/>
      <c r="BG11" s="99"/>
      <c r="BH11" s="99"/>
      <c r="BI11" s="102"/>
      <c r="BJ11" s="4"/>
      <c r="BK11" s="4"/>
      <c r="BL11" s="4"/>
      <c r="BM11" s="4"/>
      <c r="BN11" s="4"/>
      <c r="BO11" s="4"/>
      <c r="BP11" s="4"/>
      <c r="BQ11" s="4"/>
      <c r="BR11" s="4"/>
      <c r="BS11" s="4"/>
    </row>
    <row r="12" ht="16.5" customHeight="1">
      <c r="A12" s="94" t="s">
        <v>86</v>
      </c>
      <c r="B12" s="95" t="s">
        <v>88</v>
      </c>
      <c r="C12" s="96" t="s">
        <v>74</v>
      </c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6" t="s">
        <v>74</v>
      </c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  <c r="BF12" s="99"/>
      <c r="BG12" s="99"/>
      <c r="BH12" s="99"/>
      <c r="BI12" s="102"/>
      <c r="BJ12" s="4"/>
      <c r="BK12" s="4"/>
      <c r="BL12" s="4"/>
      <c r="BM12" s="4"/>
      <c r="BN12" s="4"/>
      <c r="BO12" s="4"/>
      <c r="BP12" s="4"/>
      <c r="BQ12" s="4"/>
      <c r="BR12" s="4"/>
      <c r="BS12" s="4"/>
    </row>
    <row r="13" ht="16.5" customHeight="1">
      <c r="A13" s="94" t="s">
        <v>93</v>
      </c>
      <c r="B13" s="95" t="s">
        <v>94</v>
      </c>
      <c r="C13" s="96" t="s">
        <v>74</v>
      </c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6" t="s">
        <v>74</v>
      </c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  <c r="BF13" s="99"/>
      <c r="BG13" s="99"/>
      <c r="BH13" s="99"/>
      <c r="BI13" s="102"/>
      <c r="BJ13" s="4"/>
      <c r="BK13" s="4"/>
      <c r="BL13" s="4"/>
      <c r="BM13" s="4"/>
      <c r="BN13" s="4"/>
      <c r="BO13" s="4"/>
      <c r="BP13" s="4"/>
      <c r="BQ13" s="4"/>
      <c r="BR13" s="4"/>
      <c r="BS13" s="4"/>
    </row>
    <row r="14" ht="16.5" customHeight="1">
      <c r="A14" s="94" t="s">
        <v>253</v>
      </c>
      <c r="B14" s="95" t="s">
        <v>254</v>
      </c>
      <c r="C14" s="96" t="s">
        <v>74</v>
      </c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6" t="s">
        <v>74</v>
      </c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  <c r="BF14" s="99"/>
      <c r="BG14" s="99"/>
      <c r="BH14" s="99"/>
      <c r="BI14" s="102"/>
      <c r="BJ14" s="4"/>
      <c r="BK14" s="4"/>
      <c r="BL14" s="4"/>
      <c r="BM14" s="4"/>
      <c r="BN14" s="4"/>
      <c r="BO14" s="4"/>
      <c r="BP14" s="4"/>
      <c r="BQ14" s="4"/>
      <c r="BR14" s="4"/>
      <c r="BS14" s="4"/>
    </row>
    <row r="15" ht="16.5" customHeight="1">
      <c r="A15" s="94" t="s">
        <v>255</v>
      </c>
      <c r="B15" s="95" t="s">
        <v>256</v>
      </c>
      <c r="C15" s="96" t="s">
        <v>74</v>
      </c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6" t="s">
        <v>74</v>
      </c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  <c r="BF15" s="99"/>
      <c r="BG15" s="99"/>
      <c r="BH15" s="99"/>
      <c r="BI15" s="102"/>
      <c r="BJ15" s="4"/>
      <c r="BK15" s="4"/>
      <c r="BL15" s="4"/>
      <c r="BM15" s="4"/>
      <c r="BN15" s="4"/>
      <c r="BO15" s="4"/>
      <c r="BP15" s="4"/>
      <c r="BQ15" s="4"/>
      <c r="BR15" s="4"/>
      <c r="BS15" s="4"/>
    </row>
    <row r="16" ht="16.5" customHeight="1">
      <c r="A16" s="131" t="s">
        <v>257</v>
      </c>
      <c r="B16" s="132" t="s">
        <v>254</v>
      </c>
      <c r="C16" s="133" t="s">
        <v>74</v>
      </c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3" t="s">
        <v>74</v>
      </c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7"/>
      <c r="BF16" s="137"/>
      <c r="BG16" s="137"/>
      <c r="BH16" s="137"/>
      <c r="BI16" s="139"/>
      <c r="BJ16" s="4"/>
      <c r="BK16" s="4"/>
      <c r="BL16" s="4"/>
      <c r="BM16" s="4"/>
      <c r="BN16" s="4"/>
      <c r="BO16" s="4"/>
      <c r="BP16" s="4"/>
      <c r="BQ16" s="4"/>
      <c r="BR16" s="4"/>
      <c r="BS16" s="4"/>
    </row>
    <row r="17" ht="16.5" hidden="1" customHeight="1">
      <c r="A17" s="89" t="s">
        <v>261</v>
      </c>
      <c r="B17" s="90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3"/>
      <c r="BF17" s="93"/>
      <c r="BG17" s="93"/>
      <c r="BH17" s="93"/>
      <c r="BI17" s="90"/>
      <c r="BJ17" s="4"/>
      <c r="BK17" s="4"/>
      <c r="BL17" s="4"/>
      <c r="BM17" s="4"/>
      <c r="BN17" s="4"/>
      <c r="BO17" s="4"/>
      <c r="BP17" s="4"/>
      <c r="BQ17" s="4"/>
      <c r="BR17" s="4"/>
      <c r="BS17" s="4"/>
    </row>
    <row r="18" ht="16.5" hidden="1" customHeight="1">
      <c r="A18" s="94" t="s">
        <v>263</v>
      </c>
      <c r="B18" s="102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  <c r="BF18" s="99"/>
      <c r="BG18" s="99"/>
      <c r="BH18" s="99"/>
      <c r="BI18" s="102"/>
      <c r="BJ18" s="4"/>
      <c r="BK18" s="4"/>
      <c r="BL18" s="4"/>
      <c r="BM18" s="4"/>
      <c r="BN18" s="4"/>
      <c r="BO18" s="4"/>
      <c r="BP18" s="4"/>
      <c r="BQ18" s="4"/>
      <c r="BR18" s="4"/>
      <c r="BS18" s="4"/>
    </row>
    <row r="19" ht="16.5" hidden="1" customHeight="1">
      <c r="A19" s="94" t="s">
        <v>264</v>
      </c>
      <c r="B19" s="102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  <c r="BF19" s="99"/>
      <c r="BG19" s="99"/>
      <c r="BH19" s="99"/>
      <c r="BI19" s="102"/>
      <c r="BJ19" s="4"/>
      <c r="BK19" s="4"/>
      <c r="BL19" s="4"/>
      <c r="BM19" s="4"/>
      <c r="BN19" s="4"/>
      <c r="BO19" s="4"/>
      <c r="BP19" s="4"/>
      <c r="BQ19" s="4"/>
      <c r="BR19" s="4"/>
      <c r="BS19" s="4"/>
    </row>
    <row r="20" ht="16.5" hidden="1" customHeight="1">
      <c r="A20" s="94" t="s">
        <v>265</v>
      </c>
      <c r="B20" s="102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  <c r="BF20" s="99"/>
      <c r="BG20" s="99"/>
      <c r="BH20" s="99"/>
      <c r="BI20" s="102"/>
      <c r="BJ20" s="4"/>
      <c r="BK20" s="4"/>
      <c r="BL20" s="4"/>
      <c r="BM20" s="4"/>
      <c r="BN20" s="4"/>
      <c r="BO20" s="4"/>
      <c r="BP20" s="4"/>
      <c r="BQ20" s="4"/>
      <c r="BR20" s="4"/>
      <c r="BS20" s="4"/>
    </row>
    <row r="21" ht="16.5" hidden="1" customHeight="1">
      <c r="A21" s="94" t="s">
        <v>266</v>
      </c>
      <c r="B21" s="102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  <c r="BF21" s="99"/>
      <c r="BG21" s="99"/>
      <c r="BH21" s="99"/>
      <c r="BI21" s="102"/>
      <c r="BJ21" s="4"/>
      <c r="BK21" s="4"/>
      <c r="BL21" s="4"/>
      <c r="BM21" s="4"/>
      <c r="BN21" s="4"/>
      <c r="BO21" s="4"/>
      <c r="BP21" s="4"/>
      <c r="BQ21" s="4"/>
      <c r="BR21" s="4"/>
      <c r="BS21" s="4"/>
    </row>
    <row r="22" ht="16.5" hidden="1" customHeight="1">
      <c r="A22" s="94" t="s">
        <v>267</v>
      </c>
      <c r="B22" s="102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  <c r="BF22" s="99"/>
      <c r="BG22" s="99"/>
      <c r="BH22" s="99"/>
      <c r="BI22" s="102"/>
      <c r="BJ22" s="4"/>
      <c r="BK22" s="4"/>
      <c r="BL22" s="4"/>
      <c r="BM22" s="4"/>
      <c r="BN22" s="4"/>
      <c r="BO22" s="4"/>
      <c r="BP22" s="4"/>
      <c r="BQ22" s="4"/>
      <c r="BR22" s="4"/>
      <c r="BS22" s="4"/>
    </row>
    <row r="23" ht="16.5" hidden="1" customHeight="1">
      <c r="A23" s="94" t="s">
        <v>269</v>
      </c>
      <c r="B23" s="102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  <c r="BF23" s="99"/>
      <c r="BG23" s="99"/>
      <c r="BH23" s="99"/>
      <c r="BI23" s="102"/>
      <c r="BJ23" s="4"/>
      <c r="BK23" s="4"/>
      <c r="BL23" s="4"/>
      <c r="BM23" s="4"/>
      <c r="BN23" s="4"/>
      <c r="BO23" s="4"/>
      <c r="BP23" s="4"/>
      <c r="BQ23" s="4"/>
      <c r="BR23" s="4"/>
      <c r="BS23" s="4"/>
    </row>
    <row r="24" ht="16.5" hidden="1" customHeight="1">
      <c r="A24" s="94" t="s">
        <v>270</v>
      </c>
      <c r="B24" s="102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  <c r="BF24" s="99"/>
      <c r="BG24" s="99"/>
      <c r="BH24" s="99"/>
      <c r="BI24" s="102"/>
      <c r="BJ24" s="4"/>
      <c r="BK24" s="4"/>
      <c r="BL24" s="4"/>
      <c r="BM24" s="4"/>
      <c r="BN24" s="4"/>
      <c r="BO24" s="4"/>
      <c r="BP24" s="4"/>
      <c r="BQ24" s="4"/>
      <c r="BR24" s="4"/>
      <c r="BS24" s="4"/>
    </row>
    <row r="25" ht="16.5" hidden="1" customHeight="1">
      <c r="A25" s="94" t="s">
        <v>271</v>
      </c>
      <c r="B25" s="102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  <c r="BF25" s="99"/>
      <c r="BG25" s="99"/>
      <c r="BH25" s="99"/>
      <c r="BI25" s="102"/>
      <c r="BJ25" s="4"/>
      <c r="BK25" s="4"/>
      <c r="BL25" s="4"/>
      <c r="BM25" s="4"/>
      <c r="BN25" s="4"/>
      <c r="BO25" s="4"/>
      <c r="BP25" s="4"/>
      <c r="BQ25" s="4"/>
      <c r="BR25" s="4"/>
      <c r="BS25" s="4"/>
    </row>
    <row r="26" ht="16.5" hidden="1" customHeight="1">
      <c r="A26" s="94" t="s">
        <v>273</v>
      </c>
      <c r="B26" s="102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  <c r="BF26" s="99"/>
      <c r="BG26" s="99"/>
      <c r="BH26" s="99"/>
      <c r="BI26" s="102"/>
      <c r="BJ26" s="4"/>
      <c r="BK26" s="4"/>
      <c r="BL26" s="4"/>
      <c r="BM26" s="4"/>
      <c r="BN26" s="4"/>
      <c r="BO26" s="4"/>
      <c r="BP26" s="4"/>
      <c r="BQ26" s="4"/>
      <c r="BR26" s="4"/>
      <c r="BS26" s="4"/>
    </row>
    <row r="27" ht="16.5" hidden="1" customHeight="1">
      <c r="A27" s="94" t="s">
        <v>274</v>
      </c>
      <c r="B27" s="102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  <c r="BF27" s="99"/>
      <c r="BG27" s="99"/>
      <c r="BH27" s="99"/>
      <c r="BI27" s="102"/>
      <c r="BJ27" s="4"/>
      <c r="BK27" s="4"/>
      <c r="BL27" s="4"/>
      <c r="BM27" s="4"/>
      <c r="BN27" s="4"/>
      <c r="BO27" s="4"/>
      <c r="BP27" s="4"/>
      <c r="BQ27" s="4"/>
      <c r="BR27" s="4"/>
      <c r="BS27" s="4"/>
    </row>
    <row r="28" ht="16.5" customHeight="1">
      <c r="A28" s="140" t="s">
        <v>275</v>
      </c>
      <c r="B28" s="141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4"/>
      <c r="BF28" s="144"/>
      <c r="BG28" s="144"/>
      <c r="BH28" s="144"/>
      <c r="BI28" s="141"/>
      <c r="BJ28" s="4"/>
      <c r="BK28" s="4"/>
      <c r="BL28" s="4"/>
      <c r="BM28" s="4"/>
      <c r="BN28" s="4"/>
      <c r="BO28" s="4"/>
      <c r="BP28" s="4"/>
      <c r="BQ28" s="4"/>
      <c r="BR28" s="4"/>
      <c r="BS28" s="4"/>
    </row>
    <row r="29" ht="16.5" customHeight="1">
      <c r="A29" s="94" t="s">
        <v>277</v>
      </c>
      <c r="B29" s="146" t="s">
        <v>278</v>
      </c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  <c r="BF29" s="99"/>
      <c r="BG29" s="99"/>
      <c r="BH29" s="99"/>
      <c r="BI29" s="102"/>
      <c r="BJ29" s="4"/>
      <c r="BK29" s="4"/>
      <c r="BL29" s="4"/>
      <c r="BM29" s="4"/>
      <c r="BN29" s="4"/>
      <c r="BO29" s="4"/>
      <c r="BP29" s="4"/>
      <c r="BQ29" s="4"/>
      <c r="BR29" s="4"/>
      <c r="BS29" s="4"/>
    </row>
    <row r="30" ht="16.5" customHeight="1">
      <c r="A30" s="94" t="s">
        <v>279</v>
      </c>
      <c r="B30" s="102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  <c r="BF30" s="99"/>
      <c r="BG30" s="99"/>
      <c r="BH30" s="99"/>
      <c r="BI30" s="102"/>
      <c r="BJ30" s="4"/>
      <c r="BK30" s="4"/>
      <c r="BL30" s="4"/>
      <c r="BM30" s="4"/>
      <c r="BN30" s="4"/>
      <c r="BO30" s="4"/>
      <c r="BP30" s="4"/>
      <c r="BQ30" s="4"/>
      <c r="BR30" s="4"/>
      <c r="BS30" s="4"/>
    </row>
    <row r="31" ht="16.5" customHeight="1">
      <c r="A31" s="94" t="s">
        <v>280</v>
      </c>
      <c r="B31" s="148" t="s">
        <v>281</v>
      </c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4"/>
      <c r="BF31" s="154"/>
      <c r="BG31" s="154"/>
      <c r="BH31" s="154"/>
      <c r="BI31" s="156"/>
      <c r="BJ31" s="4"/>
      <c r="BK31" s="4"/>
      <c r="BL31" s="4"/>
      <c r="BM31" s="4"/>
      <c r="BN31" s="4"/>
      <c r="BO31" s="4"/>
      <c r="BP31" s="4"/>
      <c r="BQ31" s="4"/>
      <c r="BR31" s="4"/>
      <c r="BS31" s="4"/>
    </row>
    <row r="32" ht="16.5" customHeight="1">
      <c r="A32" s="94" t="s">
        <v>282</v>
      </c>
      <c r="B32" s="146" t="s">
        <v>283</v>
      </c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  <c r="BF32" s="99"/>
      <c r="BG32" s="99"/>
      <c r="BH32" s="99"/>
      <c r="BI32" s="102"/>
      <c r="BJ32" s="4"/>
      <c r="BK32" s="4"/>
      <c r="BL32" s="4"/>
      <c r="BM32" s="4"/>
      <c r="BN32" s="4"/>
      <c r="BO32" s="4"/>
      <c r="BP32" s="4"/>
      <c r="BQ32" s="4"/>
      <c r="BR32" s="4"/>
      <c r="BS32" s="4"/>
    </row>
    <row r="33" ht="16.5" customHeight="1">
      <c r="A33" s="94" t="s">
        <v>284</v>
      </c>
      <c r="B33" s="146" t="s">
        <v>256</v>
      </c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  <c r="BF33" s="99"/>
      <c r="BG33" s="99"/>
      <c r="BH33" s="99"/>
      <c r="BI33" s="102"/>
      <c r="BJ33" s="4"/>
      <c r="BK33" s="4"/>
      <c r="BL33" s="4"/>
      <c r="BM33" s="4"/>
      <c r="BN33" s="4"/>
      <c r="BO33" s="4"/>
      <c r="BP33" s="4"/>
      <c r="BQ33" s="4"/>
      <c r="BR33" s="4"/>
      <c r="BS33" s="4"/>
    </row>
    <row r="34" ht="16.5" customHeight="1">
      <c r="A34" s="94" t="s">
        <v>285</v>
      </c>
      <c r="B34" s="146" t="s">
        <v>256</v>
      </c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  <c r="BF34" s="99"/>
      <c r="BG34" s="99"/>
      <c r="BH34" s="99"/>
      <c r="BI34" s="102"/>
      <c r="BJ34" s="4"/>
      <c r="BK34" s="4"/>
      <c r="BL34" s="4"/>
      <c r="BM34" s="4"/>
      <c r="BN34" s="4"/>
      <c r="BO34" s="4"/>
      <c r="BP34" s="4"/>
      <c r="BQ34" s="4"/>
      <c r="BR34" s="4"/>
      <c r="BS34" s="4"/>
    </row>
    <row r="35" ht="16.5" customHeight="1">
      <c r="A35" s="94" t="s">
        <v>286</v>
      </c>
      <c r="B35" s="146" t="s">
        <v>287</v>
      </c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9"/>
      <c r="BF35" s="99"/>
      <c r="BG35" s="99"/>
      <c r="BH35" s="99"/>
      <c r="BI35" s="102"/>
      <c r="BJ35" s="4"/>
      <c r="BK35" s="4"/>
      <c r="BL35" s="4"/>
      <c r="BM35" s="4"/>
      <c r="BN35" s="4"/>
      <c r="BO35" s="4"/>
      <c r="BP35" s="4"/>
      <c r="BQ35" s="4"/>
      <c r="BR35" s="4"/>
      <c r="BS35" s="4"/>
    </row>
    <row r="36" ht="16.5" customHeight="1">
      <c r="A36" s="94" t="s">
        <v>288</v>
      </c>
      <c r="B36" s="95" t="s">
        <v>289</v>
      </c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9"/>
      <c r="BF36" s="99"/>
      <c r="BG36" s="99"/>
      <c r="BH36" s="99"/>
      <c r="BI36" s="102"/>
      <c r="BJ36" s="4"/>
      <c r="BK36" s="4"/>
      <c r="BL36" s="4"/>
      <c r="BM36" s="4"/>
      <c r="BN36" s="4"/>
      <c r="BO36" s="4"/>
      <c r="BP36" s="4"/>
      <c r="BQ36" s="4"/>
      <c r="BR36" s="4"/>
      <c r="BS36" s="4"/>
    </row>
    <row r="37" ht="16.5" customHeight="1">
      <c r="A37" s="94" t="s">
        <v>291</v>
      </c>
      <c r="B37" s="102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9"/>
      <c r="BF37" s="99"/>
      <c r="BG37" s="99"/>
      <c r="BH37" s="99"/>
      <c r="BI37" s="102"/>
      <c r="BJ37" s="4"/>
      <c r="BK37" s="4"/>
      <c r="BL37" s="4"/>
      <c r="BM37" s="4"/>
      <c r="BN37" s="4"/>
      <c r="BO37" s="4"/>
      <c r="BP37" s="4"/>
      <c r="BQ37" s="4"/>
      <c r="BR37" s="4"/>
      <c r="BS37" s="4"/>
    </row>
    <row r="38" ht="16.5" customHeight="1">
      <c r="A38" s="94" t="s">
        <v>292</v>
      </c>
      <c r="B38" s="146" t="s">
        <v>293</v>
      </c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9"/>
      <c r="BF38" s="99"/>
      <c r="BG38" s="99"/>
      <c r="BH38" s="99"/>
      <c r="BI38" s="102"/>
      <c r="BJ38" s="4"/>
      <c r="BK38" s="4"/>
      <c r="BL38" s="4"/>
      <c r="BM38" s="4"/>
      <c r="BN38" s="4"/>
      <c r="BO38" s="4"/>
      <c r="BP38" s="4"/>
      <c r="BQ38" s="4"/>
      <c r="BR38" s="4"/>
      <c r="BS38" s="4"/>
    </row>
    <row r="39" ht="16.5" customHeight="1">
      <c r="A39" s="94" t="s">
        <v>294</v>
      </c>
      <c r="B39" s="146" t="s">
        <v>295</v>
      </c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9"/>
      <c r="BF39" s="99"/>
      <c r="BG39" s="99"/>
      <c r="BH39" s="99"/>
      <c r="BI39" s="102"/>
      <c r="BJ39" s="4"/>
      <c r="BK39" s="4"/>
      <c r="BL39" s="4"/>
      <c r="BM39" s="4"/>
      <c r="BN39" s="4"/>
      <c r="BO39" s="4"/>
      <c r="BP39" s="4"/>
      <c r="BQ39" s="4"/>
      <c r="BR39" s="4"/>
      <c r="BS39" s="4"/>
    </row>
    <row r="40" ht="16.5" customHeight="1">
      <c r="A40" s="140" t="s">
        <v>296</v>
      </c>
      <c r="B40" s="141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4"/>
      <c r="BF40" s="144"/>
      <c r="BG40" s="144"/>
      <c r="BH40" s="144"/>
      <c r="BI40" s="141"/>
      <c r="BJ40" s="4"/>
      <c r="BK40" s="4"/>
      <c r="BL40" s="4"/>
      <c r="BM40" s="4"/>
      <c r="BN40" s="4"/>
      <c r="BO40" s="4"/>
      <c r="BP40" s="4"/>
      <c r="BQ40" s="4"/>
      <c r="BR40" s="4"/>
      <c r="BS40" s="4"/>
    </row>
    <row r="41" ht="16.5" customHeight="1">
      <c r="A41" s="94" t="s">
        <v>297</v>
      </c>
      <c r="B41" s="102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9"/>
      <c r="BF41" s="99"/>
      <c r="BG41" s="99"/>
      <c r="BH41" s="99"/>
      <c r="BI41" s="102"/>
      <c r="BJ41" s="4"/>
      <c r="BK41" s="4"/>
      <c r="BL41" s="4"/>
      <c r="BM41" s="4"/>
      <c r="BN41" s="4"/>
      <c r="BO41" s="4"/>
      <c r="BP41" s="4"/>
      <c r="BQ41" s="4"/>
      <c r="BR41" s="4"/>
      <c r="BS41" s="4"/>
    </row>
    <row r="42" ht="16.5" customHeight="1">
      <c r="A42" s="94" t="s">
        <v>298</v>
      </c>
      <c r="B42" s="102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9"/>
      <c r="BF42" s="99"/>
      <c r="BG42" s="99"/>
      <c r="BH42" s="99"/>
      <c r="BI42" s="102"/>
      <c r="BJ42" s="4"/>
      <c r="BK42" s="4"/>
      <c r="BL42" s="4"/>
      <c r="BM42" s="4"/>
      <c r="BN42" s="4"/>
      <c r="BO42" s="4"/>
      <c r="BP42" s="4"/>
      <c r="BQ42" s="4"/>
      <c r="BR42" s="4"/>
      <c r="BS42" s="4"/>
    </row>
    <row r="43" ht="16.5" customHeight="1">
      <c r="A43" s="94" t="s">
        <v>299</v>
      </c>
      <c r="B43" s="102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9"/>
      <c r="BF43" s="99"/>
      <c r="BG43" s="99"/>
      <c r="BH43" s="99"/>
      <c r="BI43" s="102"/>
      <c r="BJ43" s="4"/>
      <c r="BK43" s="4"/>
      <c r="BL43" s="4"/>
      <c r="BM43" s="4"/>
      <c r="BN43" s="4"/>
      <c r="BO43" s="4"/>
      <c r="BP43" s="4"/>
      <c r="BQ43" s="4"/>
      <c r="BR43" s="4"/>
      <c r="BS43" s="4"/>
    </row>
    <row r="44" ht="16.5" customHeight="1">
      <c r="A44" s="94" t="s">
        <v>300</v>
      </c>
      <c r="B44" s="102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9"/>
      <c r="BF44" s="99"/>
      <c r="BG44" s="99"/>
      <c r="BH44" s="99"/>
      <c r="BI44" s="102"/>
      <c r="BJ44" s="4"/>
      <c r="BK44" s="4"/>
      <c r="BL44" s="4"/>
      <c r="BM44" s="4"/>
      <c r="BN44" s="4"/>
      <c r="BO44" s="4"/>
      <c r="BP44" s="4"/>
      <c r="BQ44" s="4"/>
      <c r="BR44" s="4"/>
      <c r="BS44" s="4"/>
    </row>
    <row r="45" ht="16.5" customHeight="1">
      <c r="A45" s="94" t="s">
        <v>301</v>
      </c>
      <c r="B45" s="102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9"/>
      <c r="BF45" s="99"/>
      <c r="BG45" s="99"/>
      <c r="BH45" s="99"/>
      <c r="BI45" s="102"/>
      <c r="BJ45" s="4"/>
      <c r="BK45" s="4"/>
      <c r="BL45" s="4"/>
      <c r="BM45" s="4"/>
      <c r="BN45" s="4"/>
      <c r="BO45" s="4"/>
      <c r="BP45" s="4"/>
      <c r="BQ45" s="4"/>
      <c r="BR45" s="4"/>
      <c r="BS45" s="4"/>
    </row>
    <row r="46" ht="16.5" customHeight="1">
      <c r="A46" s="94" t="s">
        <v>302</v>
      </c>
      <c r="B46" s="102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9"/>
      <c r="BF46" s="99"/>
      <c r="BG46" s="99"/>
      <c r="BH46" s="99"/>
      <c r="BI46" s="102"/>
      <c r="BJ46" s="4"/>
      <c r="BK46" s="4"/>
      <c r="BL46" s="4"/>
      <c r="BM46" s="4"/>
      <c r="BN46" s="4"/>
      <c r="BO46" s="4"/>
      <c r="BP46" s="4"/>
      <c r="BQ46" s="4"/>
      <c r="BR46" s="4"/>
      <c r="BS46" s="4"/>
    </row>
    <row r="47" ht="16.5" customHeight="1">
      <c r="A47" s="94" t="s">
        <v>303</v>
      </c>
      <c r="B47" s="102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9"/>
      <c r="BF47" s="99"/>
      <c r="BG47" s="99"/>
      <c r="BH47" s="99"/>
      <c r="BI47" s="102"/>
      <c r="BJ47" s="4"/>
      <c r="BK47" s="4"/>
      <c r="BL47" s="4"/>
      <c r="BM47" s="4"/>
      <c r="BN47" s="4"/>
      <c r="BO47" s="4"/>
      <c r="BP47" s="4"/>
      <c r="BQ47" s="4"/>
      <c r="BR47" s="4"/>
      <c r="BS47" s="4"/>
    </row>
    <row r="48" ht="16.5" customHeight="1">
      <c r="A48" s="94" t="s">
        <v>304</v>
      </c>
      <c r="B48" s="102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9"/>
      <c r="BF48" s="99"/>
      <c r="BG48" s="99"/>
      <c r="BH48" s="99"/>
      <c r="BI48" s="102"/>
      <c r="BJ48" s="4"/>
      <c r="BK48" s="4"/>
      <c r="BL48" s="4"/>
      <c r="BM48" s="4"/>
      <c r="BN48" s="4"/>
      <c r="BO48" s="4"/>
      <c r="BP48" s="4"/>
      <c r="BQ48" s="4"/>
      <c r="BR48" s="4"/>
      <c r="BS48" s="4"/>
    </row>
    <row r="49" ht="16.5" customHeight="1">
      <c r="A49" s="94" t="s">
        <v>305</v>
      </c>
      <c r="B49" s="102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9"/>
      <c r="BF49" s="99"/>
      <c r="BG49" s="99"/>
      <c r="BH49" s="99"/>
      <c r="BI49" s="102"/>
      <c r="BJ49" s="4"/>
      <c r="BK49" s="4"/>
      <c r="BL49" s="4"/>
      <c r="BM49" s="4"/>
      <c r="BN49" s="4"/>
      <c r="BO49" s="4"/>
      <c r="BP49" s="4"/>
      <c r="BQ49" s="4"/>
      <c r="BR49" s="4"/>
      <c r="BS49" s="4"/>
    </row>
    <row r="50" ht="16.5" customHeight="1">
      <c r="A50" s="94" t="s">
        <v>306</v>
      </c>
      <c r="B50" s="102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9"/>
      <c r="BF50" s="99"/>
      <c r="BG50" s="99"/>
      <c r="BH50" s="99"/>
      <c r="BI50" s="102"/>
      <c r="BJ50" s="4"/>
      <c r="BK50" s="4"/>
      <c r="BL50" s="4"/>
      <c r="BM50" s="4"/>
      <c r="BN50" s="4"/>
      <c r="BO50" s="4"/>
      <c r="BP50" s="4"/>
      <c r="BQ50" s="4"/>
      <c r="BR50" s="4"/>
      <c r="BS50" s="4"/>
    </row>
    <row r="51" ht="16.5" customHeight="1">
      <c r="A51" s="140" t="s">
        <v>307</v>
      </c>
      <c r="B51" s="141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4"/>
      <c r="BF51" s="144"/>
      <c r="BG51" s="144"/>
      <c r="BH51" s="144"/>
      <c r="BI51" s="141"/>
      <c r="BJ51" s="4"/>
      <c r="BK51" s="4"/>
      <c r="BL51" s="4"/>
      <c r="BM51" s="4"/>
      <c r="BN51" s="4"/>
      <c r="BO51" s="4"/>
      <c r="BP51" s="4"/>
      <c r="BQ51" s="4"/>
      <c r="BR51" s="4"/>
      <c r="BS51" s="4"/>
    </row>
    <row r="52" ht="16.5" customHeight="1">
      <c r="A52" s="94" t="s">
        <v>308</v>
      </c>
      <c r="B52" s="102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9"/>
      <c r="BF52" s="99"/>
      <c r="BG52" s="99"/>
      <c r="BH52" s="99"/>
      <c r="BI52" s="102"/>
      <c r="BJ52" s="4"/>
      <c r="BK52" s="4"/>
      <c r="BL52" s="4"/>
      <c r="BM52" s="4"/>
      <c r="BN52" s="4"/>
      <c r="BO52" s="4"/>
      <c r="BP52" s="4"/>
      <c r="BQ52" s="4"/>
      <c r="BR52" s="4"/>
      <c r="BS52" s="4"/>
    </row>
    <row r="53" ht="16.5" customHeight="1">
      <c r="A53" s="94" t="s">
        <v>309</v>
      </c>
      <c r="B53" s="102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9"/>
      <c r="BF53" s="99"/>
      <c r="BG53" s="99"/>
      <c r="BH53" s="99"/>
      <c r="BI53" s="102"/>
      <c r="BJ53" s="4"/>
      <c r="BK53" s="4"/>
      <c r="BL53" s="4"/>
      <c r="BM53" s="4"/>
      <c r="BN53" s="4"/>
      <c r="BO53" s="4"/>
      <c r="BP53" s="4"/>
      <c r="BQ53" s="4"/>
      <c r="BR53" s="4"/>
      <c r="BS53" s="4"/>
    </row>
    <row r="54" ht="16.5" customHeight="1">
      <c r="A54" s="94" t="s">
        <v>310</v>
      </c>
      <c r="B54" s="102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9"/>
      <c r="BF54" s="99"/>
      <c r="BG54" s="99"/>
      <c r="BH54" s="99"/>
      <c r="BI54" s="102"/>
      <c r="BJ54" s="4"/>
      <c r="BK54" s="4"/>
      <c r="BL54" s="4"/>
      <c r="BM54" s="4"/>
      <c r="BN54" s="4"/>
      <c r="BO54" s="4"/>
      <c r="BP54" s="4"/>
      <c r="BQ54" s="4"/>
      <c r="BR54" s="4"/>
      <c r="BS54" s="4"/>
    </row>
    <row r="55" ht="16.5" customHeight="1">
      <c r="A55" s="94" t="s">
        <v>311</v>
      </c>
      <c r="B55" s="102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9"/>
      <c r="BF55" s="99"/>
      <c r="BG55" s="99"/>
      <c r="BH55" s="99"/>
      <c r="BI55" s="102"/>
      <c r="BJ55" s="4"/>
      <c r="BK55" s="4"/>
      <c r="BL55" s="4"/>
      <c r="BM55" s="4"/>
      <c r="BN55" s="4"/>
      <c r="BO55" s="4"/>
      <c r="BP55" s="4"/>
      <c r="BQ55" s="4"/>
      <c r="BR55" s="4"/>
      <c r="BS55" s="4"/>
    </row>
    <row r="56" ht="16.5" customHeight="1">
      <c r="A56" s="140" t="s">
        <v>312</v>
      </c>
      <c r="B56" s="141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4"/>
      <c r="BF56" s="144"/>
      <c r="BG56" s="144"/>
      <c r="BH56" s="144"/>
      <c r="BI56" s="141"/>
      <c r="BJ56" s="4"/>
      <c r="BK56" s="4"/>
      <c r="BL56" s="4"/>
      <c r="BM56" s="4"/>
      <c r="BN56" s="4"/>
      <c r="BO56" s="4"/>
      <c r="BP56" s="4"/>
      <c r="BQ56" s="4"/>
      <c r="BR56" s="4"/>
      <c r="BS56" s="4"/>
    </row>
    <row r="57" hidden="1">
      <c r="A57" s="94" t="s">
        <v>313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4"/>
      <c r="BK57" s="4"/>
      <c r="BL57" s="4"/>
      <c r="BM57" s="4"/>
      <c r="BN57" s="4"/>
      <c r="BO57" s="4"/>
      <c r="BP57" s="4"/>
      <c r="BQ57" s="4"/>
      <c r="BR57" s="4"/>
      <c r="BS57" s="4"/>
    </row>
    <row r="58">
      <c r="A58" s="94" t="s">
        <v>314</v>
      </c>
      <c r="B58" s="95" t="s">
        <v>94</v>
      </c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9"/>
      <c r="BF58" s="99"/>
      <c r="BG58" s="99"/>
      <c r="BH58" s="99"/>
      <c r="BI58" s="102"/>
      <c r="BJ58" s="4"/>
      <c r="BK58" s="4"/>
      <c r="BL58" s="4"/>
      <c r="BM58" s="4"/>
      <c r="BN58" s="4"/>
      <c r="BO58" s="4"/>
      <c r="BP58" s="4"/>
      <c r="BQ58" s="4"/>
      <c r="BR58" s="4"/>
      <c r="BS58" s="4"/>
    </row>
    <row r="59">
      <c r="A59" s="94" t="s">
        <v>315</v>
      </c>
      <c r="B59" s="95" t="s">
        <v>83</v>
      </c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9"/>
      <c r="BF59" s="99"/>
      <c r="BG59" s="99"/>
      <c r="BH59" s="99"/>
      <c r="BI59" s="102"/>
      <c r="BJ59" s="4"/>
      <c r="BK59" s="4"/>
      <c r="BL59" s="4"/>
      <c r="BM59" s="4"/>
      <c r="BN59" s="4"/>
      <c r="BO59" s="4"/>
      <c r="BP59" s="4"/>
      <c r="BQ59" s="4"/>
      <c r="BR59" s="4"/>
      <c r="BS59" s="4"/>
    </row>
    <row r="60">
      <c r="A60" s="94" t="s">
        <v>316</v>
      </c>
      <c r="B60" s="95" t="s">
        <v>94</v>
      </c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9"/>
      <c r="BF60" s="99"/>
      <c r="BG60" s="99"/>
      <c r="BH60" s="99"/>
      <c r="BI60" s="102"/>
      <c r="BJ60" s="4"/>
      <c r="BK60" s="4"/>
      <c r="BL60" s="4"/>
      <c r="BM60" s="4"/>
      <c r="BN60" s="4"/>
      <c r="BO60" s="4"/>
      <c r="BP60" s="4"/>
      <c r="BQ60" s="4"/>
      <c r="BR60" s="4"/>
      <c r="BS60" s="4"/>
    </row>
    <row r="61">
      <c r="A61" s="94" t="s">
        <v>317</v>
      </c>
      <c r="B61" s="95" t="s">
        <v>94</v>
      </c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9"/>
      <c r="BF61" s="99"/>
      <c r="BG61" s="99"/>
      <c r="BH61" s="99"/>
      <c r="BI61" s="102"/>
      <c r="BJ61" s="4"/>
      <c r="BK61" s="4"/>
      <c r="BL61" s="4"/>
      <c r="BM61" s="4"/>
      <c r="BN61" s="4"/>
      <c r="BO61" s="4"/>
      <c r="BP61" s="4"/>
      <c r="BQ61" s="4"/>
      <c r="BR61" s="4"/>
      <c r="BS61" s="4"/>
    </row>
    <row r="62">
      <c r="A62" s="94" t="s">
        <v>318</v>
      </c>
      <c r="B62" s="95" t="s">
        <v>256</v>
      </c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9"/>
      <c r="BF62" s="99"/>
      <c r="BG62" s="99"/>
      <c r="BH62" s="99"/>
      <c r="BI62" s="102"/>
      <c r="BJ62" s="4"/>
      <c r="BK62" s="4"/>
      <c r="BL62" s="4"/>
      <c r="BM62" s="4"/>
      <c r="BN62" s="4"/>
      <c r="BO62" s="4"/>
      <c r="BP62" s="4"/>
      <c r="BQ62" s="4"/>
      <c r="BR62" s="4"/>
      <c r="BS62" s="4"/>
    </row>
    <row r="63">
      <c r="A63" s="94" t="s">
        <v>319</v>
      </c>
      <c r="B63" s="95" t="s">
        <v>256</v>
      </c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9"/>
      <c r="BF63" s="99"/>
      <c r="BG63" s="99"/>
      <c r="BH63" s="99"/>
      <c r="BI63" s="102"/>
      <c r="BJ63" s="4"/>
      <c r="BK63" s="4"/>
      <c r="BL63" s="4"/>
      <c r="BM63" s="4"/>
      <c r="BN63" s="4"/>
      <c r="BO63" s="4"/>
      <c r="BP63" s="4"/>
      <c r="BQ63" s="4"/>
      <c r="BR63" s="4"/>
      <c r="BS63" s="4"/>
    </row>
    <row r="64" ht="17.25" customHeight="1">
      <c r="A64" s="140" t="s">
        <v>320</v>
      </c>
      <c r="B64" s="161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  <c r="BD64" s="143"/>
      <c r="BE64" s="144"/>
      <c r="BF64" s="144"/>
      <c r="BG64" s="144"/>
      <c r="BH64" s="144"/>
      <c r="BI64" s="161"/>
      <c r="BJ64" s="4"/>
      <c r="BK64" s="4"/>
      <c r="BL64" s="4"/>
      <c r="BM64" s="4"/>
      <c r="BN64" s="4"/>
      <c r="BO64" s="4"/>
      <c r="BP64" s="4"/>
      <c r="BQ64" s="4"/>
      <c r="BR64" s="4"/>
      <c r="BS64" s="4"/>
    </row>
    <row r="65">
      <c r="A65" s="94" t="s">
        <v>322</v>
      </c>
      <c r="B65" s="95" t="s">
        <v>94</v>
      </c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9"/>
      <c r="BF65" s="99"/>
      <c r="BG65" s="99"/>
      <c r="BH65" s="99"/>
      <c r="BI65" s="102"/>
      <c r="BJ65" s="4"/>
      <c r="BK65" s="4"/>
      <c r="BL65" s="4"/>
      <c r="BM65" s="4"/>
      <c r="BN65" s="4"/>
      <c r="BO65" s="4"/>
      <c r="BP65" s="4"/>
      <c r="BQ65" s="4"/>
      <c r="BR65" s="4"/>
      <c r="BS65" s="4"/>
    </row>
    <row r="66">
      <c r="A66" s="94" t="s">
        <v>323</v>
      </c>
      <c r="B66" s="95" t="s">
        <v>94</v>
      </c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9"/>
      <c r="BF66" s="99"/>
      <c r="BG66" s="99"/>
      <c r="BH66" s="99"/>
      <c r="BI66" s="102"/>
      <c r="BJ66" s="4"/>
      <c r="BK66" s="4"/>
      <c r="BL66" s="4"/>
      <c r="BM66" s="4"/>
      <c r="BN66" s="4"/>
      <c r="BO66" s="4"/>
      <c r="BP66" s="4"/>
      <c r="BQ66" s="4"/>
      <c r="BR66" s="4"/>
      <c r="BS66" s="4"/>
    </row>
    <row r="67">
      <c r="A67" s="94" t="s">
        <v>324</v>
      </c>
      <c r="B67" s="95" t="s">
        <v>94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9"/>
      <c r="BF67" s="99"/>
      <c r="BG67" s="99"/>
      <c r="BH67" s="99"/>
      <c r="BI67" s="102"/>
      <c r="BJ67" s="4"/>
      <c r="BK67" s="4"/>
      <c r="BL67" s="4"/>
      <c r="BM67" s="4"/>
      <c r="BN67" s="4"/>
      <c r="BO67" s="4"/>
      <c r="BP67" s="4"/>
      <c r="BQ67" s="4"/>
      <c r="BR67" s="4"/>
      <c r="BS67" s="4"/>
    </row>
    <row r="68">
      <c r="A68" s="94" t="s">
        <v>325</v>
      </c>
      <c r="B68" s="95" t="s">
        <v>326</v>
      </c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9"/>
      <c r="BF68" s="99"/>
      <c r="BG68" s="99"/>
      <c r="BH68" s="99"/>
      <c r="BI68" s="102"/>
      <c r="BJ68" s="4"/>
      <c r="BK68" s="4"/>
      <c r="BL68" s="4"/>
      <c r="BM68" s="4"/>
      <c r="BN68" s="4"/>
      <c r="BO68" s="4"/>
      <c r="BP68" s="4"/>
      <c r="BQ68" s="4"/>
      <c r="BR68" s="4"/>
      <c r="BS68" s="4"/>
    </row>
    <row r="69">
      <c r="A69" s="94" t="s">
        <v>327</v>
      </c>
      <c r="B69" s="95" t="s">
        <v>94</v>
      </c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9"/>
      <c r="BF69" s="99"/>
      <c r="BG69" s="99"/>
      <c r="BH69" s="99"/>
      <c r="BI69" s="102"/>
      <c r="BJ69" s="4"/>
      <c r="BK69" s="4"/>
      <c r="BL69" s="4"/>
      <c r="BM69" s="4"/>
      <c r="BN69" s="4"/>
      <c r="BO69" s="4"/>
      <c r="BP69" s="4"/>
      <c r="BQ69" s="4"/>
      <c r="BR69" s="4"/>
      <c r="BS69" s="4"/>
    </row>
    <row r="70">
      <c r="A70" s="94" t="s">
        <v>328</v>
      </c>
      <c r="B70" s="95" t="s">
        <v>94</v>
      </c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9"/>
      <c r="BF70" s="99"/>
      <c r="BG70" s="99"/>
      <c r="BH70" s="99"/>
      <c r="BI70" s="102"/>
      <c r="BJ70" s="4"/>
      <c r="BK70" s="4"/>
      <c r="BL70" s="4"/>
      <c r="BM70" s="4"/>
      <c r="BN70" s="4"/>
      <c r="BO70" s="4"/>
      <c r="BP70" s="4"/>
      <c r="BQ70" s="4"/>
      <c r="BR70" s="4"/>
      <c r="BS70" s="4"/>
    </row>
    <row r="71">
      <c r="A71" s="94" t="s">
        <v>329</v>
      </c>
      <c r="B71" s="95" t="s">
        <v>330</v>
      </c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9"/>
      <c r="BF71" s="99"/>
      <c r="BG71" s="99"/>
      <c r="BH71" s="99"/>
      <c r="BI71" s="102"/>
      <c r="BJ71" s="4"/>
      <c r="BK71" s="4"/>
      <c r="BL71" s="4"/>
      <c r="BM71" s="4"/>
      <c r="BN71" s="4"/>
      <c r="BO71" s="4"/>
      <c r="BP71" s="4"/>
      <c r="BQ71" s="4"/>
      <c r="BR71" s="4"/>
      <c r="BS71" s="4"/>
    </row>
    <row r="72">
      <c r="A72" s="94" t="s">
        <v>331</v>
      </c>
      <c r="B72" s="95" t="s">
        <v>94</v>
      </c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9"/>
      <c r="BF72" s="99"/>
      <c r="BG72" s="99"/>
      <c r="BH72" s="99"/>
      <c r="BI72" s="102"/>
      <c r="BJ72" s="4"/>
      <c r="BK72" s="4"/>
      <c r="BL72" s="4"/>
      <c r="BM72" s="4"/>
      <c r="BN72" s="4"/>
      <c r="BO72" s="4"/>
      <c r="BP72" s="4"/>
      <c r="BQ72" s="4"/>
      <c r="BR72" s="4"/>
      <c r="BS72" s="4"/>
    </row>
    <row r="73">
      <c r="A73" s="94" t="s">
        <v>332</v>
      </c>
      <c r="B73" s="95" t="s">
        <v>330</v>
      </c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9"/>
      <c r="BF73" s="99"/>
      <c r="BG73" s="99"/>
      <c r="BH73" s="99"/>
      <c r="BI73" s="102"/>
      <c r="BJ73" s="4"/>
      <c r="BK73" s="4"/>
      <c r="BL73" s="4"/>
      <c r="BM73" s="4"/>
      <c r="BN73" s="4"/>
      <c r="BO73" s="4"/>
      <c r="BP73" s="4"/>
      <c r="BQ73" s="4"/>
      <c r="BR73" s="4"/>
      <c r="BS73" s="4"/>
    </row>
    <row r="74">
      <c r="A74" s="94" t="s">
        <v>334</v>
      </c>
      <c r="B74" s="95" t="s">
        <v>326</v>
      </c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8"/>
      <c r="AL74" s="98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9"/>
      <c r="BF74" s="99"/>
      <c r="BG74" s="99"/>
      <c r="BH74" s="99"/>
      <c r="BI74" s="102"/>
      <c r="BJ74" s="4"/>
      <c r="BK74" s="4"/>
      <c r="BL74" s="4"/>
      <c r="BM74" s="4"/>
      <c r="BN74" s="4"/>
      <c r="BO74" s="4"/>
      <c r="BP74" s="4"/>
      <c r="BQ74" s="4"/>
      <c r="BR74" s="4"/>
      <c r="BS74" s="4"/>
    </row>
    <row r="75">
      <c r="A75" s="94" t="s">
        <v>335</v>
      </c>
      <c r="B75" s="95" t="s">
        <v>326</v>
      </c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9"/>
      <c r="BF75" s="99"/>
      <c r="BG75" s="99"/>
      <c r="BH75" s="99"/>
      <c r="BI75" s="102"/>
      <c r="BJ75" s="4"/>
      <c r="BK75" s="4"/>
      <c r="BL75" s="4"/>
      <c r="BM75" s="4"/>
      <c r="BN75" s="4"/>
      <c r="BO75" s="4"/>
      <c r="BP75" s="4"/>
      <c r="BQ75" s="4"/>
      <c r="BR75" s="4"/>
      <c r="BS75" s="4"/>
    </row>
    <row r="76">
      <c r="A76" s="94" t="s">
        <v>336</v>
      </c>
      <c r="B76" s="95" t="s">
        <v>94</v>
      </c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9"/>
      <c r="BF76" s="99"/>
      <c r="BG76" s="99"/>
      <c r="BH76" s="99"/>
      <c r="BI76" s="102"/>
      <c r="BJ76" s="4"/>
      <c r="BK76" s="4"/>
      <c r="BL76" s="4"/>
      <c r="BM76" s="4"/>
      <c r="BN76" s="4"/>
      <c r="BO76" s="4"/>
      <c r="BP76" s="4"/>
      <c r="BQ76" s="4"/>
      <c r="BR76" s="4"/>
      <c r="BS76" s="4"/>
    </row>
    <row r="77">
      <c r="A77" s="94" t="s">
        <v>337</v>
      </c>
      <c r="B77" s="95" t="s">
        <v>330</v>
      </c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9"/>
      <c r="BF77" s="99"/>
      <c r="BG77" s="99"/>
      <c r="BH77" s="99"/>
      <c r="BI77" s="102"/>
      <c r="BJ77" s="4"/>
      <c r="BK77" s="4"/>
      <c r="BL77" s="4"/>
      <c r="BM77" s="4"/>
      <c r="BN77" s="4"/>
      <c r="BO77" s="4"/>
      <c r="BP77" s="4"/>
      <c r="BQ77" s="4"/>
      <c r="BR77" s="4"/>
      <c r="BS77" s="4"/>
    </row>
    <row r="78">
      <c r="A78" s="94" t="s">
        <v>338</v>
      </c>
      <c r="B78" s="95" t="s">
        <v>94</v>
      </c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9"/>
      <c r="BF78" s="99"/>
      <c r="BG78" s="99"/>
      <c r="BH78" s="99"/>
      <c r="BI78" s="102"/>
      <c r="BJ78" s="4"/>
      <c r="BK78" s="4"/>
      <c r="BL78" s="4"/>
      <c r="BM78" s="4"/>
      <c r="BN78" s="4"/>
      <c r="BO78" s="4"/>
      <c r="BP78" s="4"/>
      <c r="BQ78" s="4"/>
      <c r="BR78" s="4"/>
      <c r="BS78" s="4"/>
    </row>
    <row r="79">
      <c r="A79" s="94" t="s">
        <v>339</v>
      </c>
      <c r="B79" s="95" t="s">
        <v>330</v>
      </c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9"/>
      <c r="BF79" s="99"/>
      <c r="BG79" s="99"/>
      <c r="BH79" s="99"/>
      <c r="BI79" s="102"/>
      <c r="BJ79" s="4"/>
      <c r="BK79" s="4"/>
      <c r="BL79" s="4"/>
      <c r="BM79" s="4"/>
      <c r="BN79" s="4"/>
      <c r="BO79" s="4"/>
      <c r="BP79" s="4"/>
      <c r="BQ79" s="4"/>
      <c r="BR79" s="4"/>
      <c r="BS79" s="4"/>
    </row>
    <row r="80">
      <c r="A80" s="94" t="s">
        <v>340</v>
      </c>
      <c r="B80" s="95" t="s">
        <v>94</v>
      </c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9"/>
      <c r="BF80" s="99"/>
      <c r="BG80" s="99"/>
      <c r="BH80" s="99"/>
      <c r="BI80" s="102"/>
      <c r="BJ80" s="4"/>
      <c r="BK80" s="4"/>
      <c r="BL80" s="4"/>
      <c r="BM80" s="4"/>
      <c r="BN80" s="4"/>
      <c r="BO80" s="4"/>
      <c r="BP80" s="4"/>
      <c r="BQ80" s="4"/>
      <c r="BR80" s="4"/>
      <c r="BS80" s="4"/>
    </row>
    <row r="81">
      <c r="A81" s="94" t="s">
        <v>341</v>
      </c>
      <c r="B81" s="95" t="s">
        <v>94</v>
      </c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9"/>
      <c r="BF81" s="99"/>
      <c r="BG81" s="99"/>
      <c r="BH81" s="99"/>
      <c r="BI81" s="102"/>
      <c r="BJ81" s="4"/>
      <c r="BK81" s="4"/>
      <c r="BL81" s="4"/>
      <c r="BM81" s="4"/>
      <c r="BN81" s="4"/>
      <c r="BO81" s="4"/>
      <c r="BP81" s="4"/>
      <c r="BQ81" s="4"/>
      <c r="BR81" s="4"/>
      <c r="BS81" s="4"/>
    </row>
    <row r="82">
      <c r="A82" s="94" t="s">
        <v>342</v>
      </c>
      <c r="B82" s="95" t="s">
        <v>94</v>
      </c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9"/>
      <c r="BF82" s="99"/>
      <c r="BG82" s="99"/>
      <c r="BH82" s="99"/>
      <c r="BI82" s="102"/>
      <c r="BJ82" s="4"/>
      <c r="BK82" s="4"/>
      <c r="BL82" s="4"/>
      <c r="BM82" s="4"/>
      <c r="BN82" s="4"/>
      <c r="BO82" s="4"/>
      <c r="BP82" s="4"/>
      <c r="BQ82" s="4"/>
      <c r="BR82" s="4"/>
      <c r="BS82" s="4"/>
    </row>
    <row r="83">
      <c r="A83" s="94" t="s">
        <v>343</v>
      </c>
      <c r="B83" s="95" t="s">
        <v>344</v>
      </c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9"/>
      <c r="BF83" s="99"/>
      <c r="BG83" s="99"/>
      <c r="BH83" s="99"/>
      <c r="BI83" s="102"/>
      <c r="BJ83" s="4"/>
      <c r="BK83" s="4"/>
      <c r="BL83" s="4"/>
      <c r="BM83" s="4"/>
      <c r="BN83" s="4"/>
      <c r="BO83" s="4"/>
      <c r="BP83" s="4"/>
      <c r="BQ83" s="4"/>
      <c r="BR83" s="4"/>
      <c r="BS83" s="4"/>
    </row>
    <row r="84">
      <c r="A84" s="94" t="s">
        <v>345</v>
      </c>
      <c r="B84" s="95" t="s">
        <v>94</v>
      </c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9"/>
      <c r="BF84" s="99"/>
      <c r="BG84" s="99"/>
      <c r="BH84" s="99"/>
      <c r="BI84" s="102"/>
      <c r="BJ84" s="4"/>
      <c r="BK84" s="4"/>
      <c r="BL84" s="4"/>
      <c r="BM84" s="4"/>
      <c r="BN84" s="4"/>
      <c r="BO84" s="4"/>
      <c r="BP84" s="4"/>
      <c r="BQ84" s="4"/>
      <c r="BR84" s="4"/>
      <c r="BS84" s="4"/>
    </row>
    <row r="85">
      <c r="A85" s="94" t="s">
        <v>346</v>
      </c>
      <c r="B85" s="95" t="s">
        <v>330</v>
      </c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9"/>
      <c r="BF85" s="99"/>
      <c r="BG85" s="99"/>
      <c r="BH85" s="99"/>
      <c r="BI85" s="102"/>
      <c r="BJ85" s="4"/>
      <c r="BK85" s="4"/>
      <c r="BL85" s="4"/>
      <c r="BM85" s="4"/>
      <c r="BN85" s="4"/>
      <c r="BO85" s="4"/>
      <c r="BP85" s="4"/>
      <c r="BQ85" s="4"/>
      <c r="BR85" s="4"/>
      <c r="BS85" s="4"/>
    </row>
    <row r="86">
      <c r="A86" s="94" t="s">
        <v>347</v>
      </c>
      <c r="B86" s="95" t="s">
        <v>94</v>
      </c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9"/>
      <c r="BF86" s="99"/>
      <c r="BG86" s="99"/>
      <c r="BH86" s="99"/>
      <c r="BI86" s="102"/>
      <c r="BJ86" s="4"/>
      <c r="BK86" s="4"/>
      <c r="BL86" s="4"/>
      <c r="BM86" s="4"/>
      <c r="BN86" s="4"/>
      <c r="BO86" s="4"/>
      <c r="BP86" s="4"/>
      <c r="BQ86" s="4"/>
      <c r="BR86" s="4"/>
      <c r="BS86" s="4"/>
    </row>
    <row r="87">
      <c r="A87" s="94" t="s">
        <v>348</v>
      </c>
      <c r="B87" s="95" t="s">
        <v>330</v>
      </c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9"/>
      <c r="BF87" s="99"/>
      <c r="BG87" s="99"/>
      <c r="BH87" s="99"/>
      <c r="BI87" s="102"/>
      <c r="BJ87" s="4"/>
      <c r="BK87" s="4"/>
      <c r="BL87" s="4"/>
      <c r="BM87" s="4"/>
      <c r="BN87" s="4"/>
      <c r="BO87" s="4"/>
      <c r="BP87" s="4"/>
      <c r="BQ87" s="4"/>
      <c r="BR87" s="4"/>
      <c r="BS87" s="4"/>
    </row>
    <row r="88">
      <c r="A88" s="162" t="s">
        <v>349</v>
      </c>
      <c r="B88" s="95" t="s">
        <v>326</v>
      </c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9"/>
      <c r="BF88" s="99"/>
      <c r="BG88" s="99"/>
      <c r="BH88" s="99"/>
      <c r="BI88" s="102"/>
      <c r="BJ88" s="4"/>
      <c r="BK88" s="4"/>
      <c r="BL88" s="4"/>
      <c r="BM88" s="4"/>
      <c r="BN88" s="4"/>
      <c r="BO88" s="4"/>
      <c r="BP88" s="4"/>
      <c r="BQ88" s="4"/>
      <c r="BR88" s="4"/>
      <c r="BS88" s="4"/>
    </row>
    <row r="89" ht="17.25" customHeight="1">
      <c r="A89" s="140" t="s">
        <v>350</v>
      </c>
      <c r="B89" s="141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  <c r="BD89" s="143"/>
      <c r="BE89" s="144"/>
      <c r="BF89" s="144"/>
      <c r="BG89" s="144"/>
      <c r="BH89" s="144"/>
      <c r="BI89" s="141"/>
      <c r="BJ89" s="4"/>
      <c r="BK89" s="4"/>
      <c r="BL89" s="4"/>
      <c r="BM89" s="4"/>
      <c r="BN89" s="4"/>
      <c r="BO89" s="4"/>
      <c r="BP89" s="4"/>
      <c r="BQ89" s="4"/>
      <c r="BR89" s="4"/>
      <c r="BS89" s="4"/>
    </row>
    <row r="90">
      <c r="A90" s="94" t="s">
        <v>351</v>
      </c>
      <c r="B90" s="102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9"/>
      <c r="BF90" s="99"/>
      <c r="BG90" s="99"/>
      <c r="BH90" s="99"/>
      <c r="BI90" s="102"/>
      <c r="BJ90" s="4"/>
      <c r="BK90" s="4"/>
      <c r="BL90" s="4"/>
      <c r="BM90" s="4"/>
      <c r="BN90" s="4"/>
      <c r="BO90" s="4"/>
      <c r="BP90" s="4"/>
      <c r="BQ90" s="4"/>
      <c r="BR90" s="4"/>
      <c r="BS90" s="4"/>
    </row>
    <row r="91">
      <c r="A91" s="94" t="s">
        <v>352</v>
      </c>
      <c r="B91" s="102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9"/>
      <c r="BF91" s="99"/>
      <c r="BG91" s="99"/>
      <c r="BH91" s="99"/>
      <c r="BI91" s="102"/>
      <c r="BJ91" s="4"/>
      <c r="BK91" s="4"/>
      <c r="BL91" s="4"/>
      <c r="BM91" s="4"/>
      <c r="BN91" s="4"/>
      <c r="BO91" s="4"/>
      <c r="BP91" s="4"/>
      <c r="BQ91" s="4"/>
      <c r="BR91" s="4"/>
      <c r="BS91" s="4"/>
    </row>
    <row r="92">
      <c r="A92" s="94" t="s">
        <v>353</v>
      </c>
      <c r="B92" s="95" t="s">
        <v>354</v>
      </c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9"/>
      <c r="BF92" s="99"/>
      <c r="BG92" s="99"/>
      <c r="BH92" s="99"/>
      <c r="BI92" s="102"/>
      <c r="BJ92" s="4"/>
      <c r="BK92" s="4"/>
      <c r="BL92" s="4"/>
      <c r="BM92" s="4"/>
      <c r="BN92" s="4"/>
      <c r="BO92" s="4"/>
      <c r="BP92" s="4"/>
      <c r="BQ92" s="4"/>
      <c r="BR92" s="4"/>
      <c r="BS92" s="4"/>
    </row>
    <row r="93">
      <c r="A93" s="94" t="s">
        <v>355</v>
      </c>
      <c r="B93" s="102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9"/>
      <c r="BF93" s="99"/>
      <c r="BG93" s="99"/>
      <c r="BH93" s="99"/>
      <c r="BI93" s="102"/>
      <c r="BJ93" s="4"/>
      <c r="BK93" s="4"/>
      <c r="BL93" s="4"/>
      <c r="BM93" s="4"/>
      <c r="BN93" s="4"/>
      <c r="BO93" s="4"/>
      <c r="BP93" s="4"/>
      <c r="BQ93" s="4"/>
      <c r="BR93" s="4"/>
      <c r="BS93" s="4"/>
    </row>
    <row r="94">
      <c r="A94" s="94" t="s">
        <v>356</v>
      </c>
      <c r="B94" s="102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9"/>
      <c r="BF94" s="99"/>
      <c r="BG94" s="99"/>
      <c r="BH94" s="99"/>
      <c r="BI94" s="102"/>
      <c r="BJ94" s="4"/>
      <c r="BK94" s="4"/>
      <c r="BL94" s="4"/>
      <c r="BM94" s="4"/>
      <c r="BN94" s="4"/>
      <c r="BO94" s="4"/>
      <c r="BP94" s="4"/>
      <c r="BQ94" s="4"/>
      <c r="BR94" s="4"/>
      <c r="BS94" s="4"/>
    </row>
    <row r="95">
      <c r="A95" s="94" t="s">
        <v>357</v>
      </c>
      <c r="B95" s="102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9"/>
      <c r="BF95" s="99"/>
      <c r="BG95" s="99"/>
      <c r="BH95" s="99"/>
      <c r="BI95" s="102"/>
      <c r="BJ95" s="4"/>
      <c r="BK95" s="4"/>
      <c r="BL95" s="4"/>
      <c r="BM95" s="4"/>
      <c r="BN95" s="4"/>
      <c r="BO95" s="4"/>
      <c r="BP95" s="4"/>
      <c r="BQ95" s="4"/>
      <c r="BR95" s="4"/>
      <c r="BS95" s="4"/>
    </row>
    <row r="96" ht="17.25" customHeight="1">
      <c r="A96" s="163" t="s">
        <v>358</v>
      </c>
      <c r="B96" s="102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9"/>
      <c r="BF96" s="99"/>
      <c r="BG96" s="99"/>
      <c r="BH96" s="99"/>
      <c r="BI96" s="102"/>
      <c r="BJ96" s="4"/>
      <c r="BK96" s="4"/>
      <c r="BL96" s="4"/>
      <c r="BM96" s="4"/>
      <c r="BN96" s="4"/>
      <c r="BO96" s="4"/>
      <c r="BP96" s="4"/>
      <c r="BQ96" s="4"/>
      <c r="BR96" s="4"/>
      <c r="BS96" s="4"/>
    </row>
    <row r="97" ht="17.25" customHeight="1">
      <c r="A97" s="140" t="s">
        <v>359</v>
      </c>
      <c r="B97" s="141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  <c r="BD97" s="143"/>
      <c r="BE97" s="144"/>
      <c r="BF97" s="144"/>
      <c r="BG97" s="144"/>
      <c r="BH97" s="144"/>
      <c r="BI97" s="141"/>
      <c r="BJ97" s="4"/>
      <c r="BK97" s="4"/>
      <c r="BL97" s="4"/>
      <c r="BM97" s="4"/>
      <c r="BN97" s="4"/>
      <c r="BO97" s="4"/>
      <c r="BP97" s="4"/>
      <c r="BQ97" s="4"/>
      <c r="BR97" s="4"/>
      <c r="BS97" s="4"/>
    </row>
    <row r="98">
      <c r="A98" s="94" t="s">
        <v>360</v>
      </c>
      <c r="B98" s="95" t="s">
        <v>361</v>
      </c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9"/>
      <c r="BF98" s="99"/>
      <c r="BG98" s="99"/>
      <c r="BH98" s="99"/>
      <c r="BI98" s="102"/>
      <c r="BJ98" s="4"/>
      <c r="BK98" s="4"/>
      <c r="BL98" s="4"/>
      <c r="BM98" s="4"/>
      <c r="BN98" s="4"/>
      <c r="BO98" s="4"/>
      <c r="BP98" s="4"/>
      <c r="BQ98" s="4"/>
      <c r="BR98" s="4"/>
      <c r="BS98" s="4"/>
    </row>
    <row r="99">
      <c r="A99" s="94" t="s">
        <v>362</v>
      </c>
      <c r="B99" s="95" t="s">
        <v>361</v>
      </c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9"/>
      <c r="BF99" s="99"/>
      <c r="BG99" s="99"/>
      <c r="BH99" s="99"/>
      <c r="BI99" s="102"/>
      <c r="BJ99" s="4"/>
      <c r="BK99" s="4"/>
      <c r="BL99" s="4"/>
      <c r="BM99" s="4"/>
      <c r="BN99" s="4"/>
      <c r="BO99" s="4"/>
      <c r="BP99" s="4"/>
      <c r="BQ99" s="4"/>
      <c r="BR99" s="4"/>
      <c r="BS99" s="4"/>
    </row>
    <row r="100">
      <c r="A100" s="94" t="s">
        <v>363</v>
      </c>
      <c r="B100" s="95" t="s">
        <v>361</v>
      </c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8"/>
      <c r="AL100" s="98"/>
      <c r="AM100" s="98"/>
      <c r="AN100" s="98"/>
      <c r="AO100" s="98"/>
      <c r="AP100" s="98"/>
      <c r="AQ100" s="98"/>
      <c r="AR100" s="98"/>
      <c r="AS100" s="98"/>
      <c r="AT100" s="98"/>
      <c r="AU100" s="98"/>
      <c r="AV100" s="98"/>
      <c r="AW100" s="98"/>
      <c r="AX100" s="98"/>
      <c r="AY100" s="98"/>
      <c r="AZ100" s="98"/>
      <c r="BA100" s="98"/>
      <c r="BB100" s="98"/>
      <c r="BC100" s="98"/>
      <c r="BD100" s="98"/>
      <c r="BE100" s="99"/>
      <c r="BF100" s="99"/>
      <c r="BG100" s="99"/>
      <c r="BH100" s="99"/>
      <c r="BI100" s="102"/>
      <c r="BJ100" s="4"/>
      <c r="BK100" s="4"/>
      <c r="BL100" s="4"/>
      <c r="BM100" s="4"/>
      <c r="BN100" s="4"/>
      <c r="BO100" s="4"/>
      <c r="BP100" s="4"/>
      <c r="BQ100" s="4"/>
      <c r="BR100" s="4"/>
      <c r="BS100" s="4"/>
    </row>
    <row r="101">
      <c r="A101" s="94" t="s">
        <v>364</v>
      </c>
      <c r="B101" s="95" t="s">
        <v>361</v>
      </c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8"/>
      <c r="AL101" s="98"/>
      <c r="AM101" s="98"/>
      <c r="AN101" s="98"/>
      <c r="AO101" s="98"/>
      <c r="AP101" s="98"/>
      <c r="AQ101" s="98"/>
      <c r="AR101" s="98"/>
      <c r="AS101" s="98"/>
      <c r="AT101" s="98"/>
      <c r="AU101" s="98"/>
      <c r="AV101" s="98"/>
      <c r="AW101" s="98"/>
      <c r="AX101" s="98"/>
      <c r="AY101" s="98"/>
      <c r="AZ101" s="98"/>
      <c r="BA101" s="98"/>
      <c r="BB101" s="98"/>
      <c r="BC101" s="98"/>
      <c r="BD101" s="98"/>
      <c r="BE101" s="99"/>
      <c r="BF101" s="99"/>
      <c r="BG101" s="99"/>
      <c r="BH101" s="99"/>
      <c r="BI101" s="102"/>
      <c r="BJ101" s="4"/>
      <c r="BK101" s="4"/>
      <c r="BL101" s="4"/>
      <c r="BM101" s="4"/>
      <c r="BN101" s="4"/>
      <c r="BO101" s="4"/>
      <c r="BP101" s="4"/>
      <c r="BQ101" s="4"/>
      <c r="BR101" s="4"/>
      <c r="BS101" s="4"/>
    </row>
    <row r="102">
      <c r="A102" s="164"/>
      <c r="B102" s="102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8"/>
      <c r="AL102" s="98"/>
      <c r="AM102" s="98"/>
      <c r="AN102" s="98"/>
      <c r="AO102" s="98"/>
      <c r="AP102" s="98"/>
      <c r="AQ102" s="98"/>
      <c r="AR102" s="98"/>
      <c r="AS102" s="98"/>
      <c r="AT102" s="98"/>
      <c r="AU102" s="98"/>
      <c r="AV102" s="98"/>
      <c r="AW102" s="98"/>
      <c r="AX102" s="98"/>
      <c r="AY102" s="98"/>
      <c r="AZ102" s="98"/>
      <c r="BA102" s="98"/>
      <c r="BB102" s="98"/>
      <c r="BC102" s="98"/>
      <c r="BD102" s="98"/>
      <c r="BE102" s="99"/>
      <c r="BF102" s="99"/>
      <c r="BG102" s="99"/>
      <c r="BH102" s="99"/>
      <c r="BI102" s="102"/>
      <c r="BJ102" s="4"/>
      <c r="BK102" s="4"/>
      <c r="BL102" s="4"/>
      <c r="BM102" s="4"/>
      <c r="BN102" s="4"/>
      <c r="BO102" s="4"/>
      <c r="BP102" s="4"/>
      <c r="BQ102" s="4"/>
      <c r="BR102" s="4"/>
      <c r="BS102" s="4"/>
    </row>
    <row r="103">
      <c r="A103" s="140" t="s">
        <v>365</v>
      </c>
      <c r="B103" s="141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  <c r="BD103" s="143"/>
      <c r="BE103" s="144"/>
      <c r="BF103" s="144"/>
      <c r="BG103" s="144"/>
      <c r="BH103" s="144"/>
      <c r="BI103" s="141"/>
      <c r="BJ103" s="4"/>
      <c r="BK103" s="4"/>
      <c r="BL103" s="4"/>
      <c r="BM103" s="4"/>
      <c r="BN103" s="4"/>
      <c r="BO103" s="4"/>
      <c r="BP103" s="4"/>
      <c r="BQ103" s="4"/>
      <c r="BR103" s="4"/>
      <c r="BS103" s="4"/>
    </row>
    <row r="104">
      <c r="A104" s="94" t="s">
        <v>367</v>
      </c>
      <c r="B104" s="95" t="s">
        <v>368</v>
      </c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9"/>
      <c r="BF104" s="99"/>
      <c r="BG104" s="99"/>
      <c r="BH104" s="99"/>
      <c r="BI104" s="102"/>
      <c r="BJ104" s="4"/>
      <c r="BK104" s="4"/>
      <c r="BL104" s="4"/>
      <c r="BM104" s="4"/>
      <c r="BN104" s="4"/>
      <c r="BO104" s="4"/>
      <c r="BP104" s="4"/>
      <c r="BQ104" s="4"/>
      <c r="BR104" s="4"/>
      <c r="BS104" s="4"/>
    </row>
    <row r="105">
      <c r="A105" s="94" t="s">
        <v>369</v>
      </c>
      <c r="B105" s="95" t="s">
        <v>368</v>
      </c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9"/>
      <c r="BF105" s="99"/>
      <c r="BG105" s="99"/>
      <c r="BH105" s="99"/>
      <c r="BI105" s="102"/>
      <c r="BJ105" s="4"/>
      <c r="BK105" s="4"/>
      <c r="BL105" s="4"/>
      <c r="BM105" s="4"/>
      <c r="BN105" s="4"/>
      <c r="BO105" s="4"/>
      <c r="BP105" s="4"/>
      <c r="BQ105" s="4"/>
      <c r="BR105" s="4"/>
      <c r="BS105" s="4"/>
    </row>
    <row r="106">
      <c r="A106" s="94" t="s">
        <v>374</v>
      </c>
      <c r="B106" s="95" t="s">
        <v>368</v>
      </c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8"/>
      <c r="AL106" s="98"/>
      <c r="AM106" s="98"/>
      <c r="AN106" s="98"/>
      <c r="AO106" s="98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9"/>
      <c r="BF106" s="99"/>
      <c r="BG106" s="99"/>
      <c r="BH106" s="99"/>
      <c r="BI106" s="102"/>
      <c r="BJ106" s="4"/>
      <c r="BK106" s="4"/>
      <c r="BL106" s="4"/>
      <c r="BM106" s="4"/>
      <c r="BN106" s="4"/>
      <c r="BO106" s="4"/>
      <c r="BP106" s="4"/>
      <c r="BQ106" s="4"/>
      <c r="BR106" s="4"/>
      <c r="BS106" s="4"/>
    </row>
    <row r="107">
      <c r="A107" s="94" t="s">
        <v>375</v>
      </c>
      <c r="B107" s="95" t="s">
        <v>368</v>
      </c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8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9"/>
      <c r="BF107" s="99"/>
      <c r="BG107" s="99"/>
      <c r="BH107" s="99"/>
      <c r="BI107" s="102"/>
      <c r="BJ107" s="4"/>
      <c r="BK107" s="4"/>
      <c r="BL107" s="4"/>
      <c r="BM107" s="4"/>
      <c r="BN107" s="4"/>
      <c r="BO107" s="4"/>
      <c r="BP107" s="4"/>
      <c r="BQ107" s="4"/>
      <c r="BR107" s="4"/>
      <c r="BS107" s="4"/>
    </row>
    <row r="108">
      <c r="A108" s="94" t="s">
        <v>376</v>
      </c>
      <c r="B108" s="167" t="s">
        <v>377</v>
      </c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50"/>
      <c r="AF108" s="150"/>
      <c r="AG108" s="150"/>
      <c r="AH108" s="150"/>
      <c r="AI108" s="150"/>
      <c r="AJ108" s="150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4"/>
      <c r="BF108" s="154"/>
      <c r="BG108" s="154"/>
      <c r="BH108" s="154"/>
      <c r="BI108" s="156"/>
      <c r="BJ108" s="4"/>
      <c r="BK108" s="4"/>
      <c r="BL108" s="4"/>
      <c r="BM108" s="4"/>
      <c r="BN108" s="4"/>
      <c r="BO108" s="4"/>
      <c r="BP108" s="4"/>
      <c r="BQ108" s="4"/>
      <c r="BR108" s="4"/>
      <c r="BS108" s="4"/>
    </row>
    <row r="109">
      <c r="A109" s="94" t="s">
        <v>380</v>
      </c>
      <c r="B109" s="95" t="s">
        <v>368</v>
      </c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8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9"/>
      <c r="BF109" s="99"/>
      <c r="BG109" s="99"/>
      <c r="BH109" s="99"/>
      <c r="BI109" s="102"/>
      <c r="BJ109" s="4"/>
      <c r="BK109" s="4"/>
      <c r="BL109" s="4"/>
      <c r="BM109" s="4"/>
      <c r="BN109" s="4"/>
      <c r="BO109" s="4"/>
      <c r="BP109" s="4"/>
      <c r="BQ109" s="4"/>
      <c r="BR109" s="4"/>
      <c r="BS109" s="4"/>
    </row>
    <row r="110">
      <c r="A110" s="94" t="s">
        <v>385</v>
      </c>
      <c r="B110" s="95" t="s">
        <v>368</v>
      </c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9"/>
      <c r="BF110" s="99"/>
      <c r="BG110" s="99"/>
      <c r="BH110" s="99"/>
      <c r="BI110" s="102"/>
      <c r="BJ110" s="4"/>
      <c r="BK110" s="4"/>
      <c r="BL110" s="4"/>
      <c r="BM110" s="4"/>
      <c r="BN110" s="4"/>
      <c r="BO110" s="4"/>
      <c r="BP110" s="4"/>
      <c r="BQ110" s="4"/>
      <c r="BR110" s="4"/>
      <c r="BS110" s="4"/>
    </row>
    <row r="111">
      <c r="A111" s="164"/>
      <c r="B111" s="102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8"/>
      <c r="AL111" s="98"/>
      <c r="AM111" s="98"/>
      <c r="AN111" s="98"/>
      <c r="AO111" s="98"/>
      <c r="AP111" s="98"/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9"/>
      <c r="BF111" s="99"/>
      <c r="BG111" s="99"/>
      <c r="BH111" s="99"/>
      <c r="BI111" s="102"/>
      <c r="BJ111" s="4"/>
      <c r="BK111" s="4"/>
      <c r="BL111" s="4"/>
      <c r="BM111" s="4"/>
      <c r="BN111" s="4"/>
      <c r="BO111" s="4"/>
      <c r="BP111" s="4"/>
      <c r="BQ111" s="4"/>
      <c r="BR111" s="4"/>
      <c r="BS111" s="4"/>
    </row>
    <row r="112">
      <c r="A112" s="102"/>
      <c r="B112" s="102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9"/>
      <c r="BF112" s="99"/>
      <c r="BG112" s="99"/>
      <c r="BH112" s="99"/>
      <c r="BI112" s="102"/>
      <c r="BJ112" s="4"/>
      <c r="BK112" s="4"/>
      <c r="BL112" s="4"/>
      <c r="BM112" s="4"/>
      <c r="BN112" s="4"/>
      <c r="BO112" s="4"/>
      <c r="BP112" s="4"/>
      <c r="BQ112" s="4"/>
      <c r="BR112" s="4"/>
      <c r="BS112" s="4"/>
    </row>
    <row r="113">
      <c r="A113" s="140" t="s">
        <v>386</v>
      </c>
      <c r="B113" s="141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  <c r="BD113" s="143"/>
      <c r="BE113" s="144"/>
      <c r="BF113" s="144"/>
      <c r="BG113" s="144"/>
      <c r="BH113" s="144"/>
      <c r="BI113" s="141"/>
      <c r="BJ113" s="4"/>
      <c r="BK113" s="4"/>
      <c r="BL113" s="4"/>
      <c r="BM113" s="4"/>
      <c r="BN113" s="4"/>
      <c r="BO113" s="4"/>
      <c r="BP113" s="4"/>
      <c r="BQ113" s="4"/>
      <c r="BR113" s="4"/>
      <c r="BS113" s="4"/>
    </row>
    <row r="114">
      <c r="A114" s="94" t="s">
        <v>387</v>
      </c>
      <c r="B114" s="95" t="s">
        <v>256</v>
      </c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9"/>
      <c r="BF114" s="99"/>
      <c r="BG114" s="99"/>
      <c r="BH114" s="99"/>
      <c r="BI114" s="102"/>
      <c r="BJ114" s="4"/>
      <c r="BK114" s="4"/>
      <c r="BL114" s="4"/>
      <c r="BM114" s="4"/>
      <c r="BN114" s="4"/>
      <c r="BO114" s="4"/>
      <c r="BP114" s="4"/>
      <c r="BQ114" s="4"/>
      <c r="BR114" s="4"/>
      <c r="BS114" s="4"/>
    </row>
    <row r="115">
      <c r="A115" s="94" t="s">
        <v>388</v>
      </c>
      <c r="B115" s="95" t="s">
        <v>289</v>
      </c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9"/>
      <c r="BF115" s="99"/>
      <c r="BG115" s="99"/>
      <c r="BH115" s="99"/>
      <c r="BI115" s="102"/>
      <c r="BJ115" s="4"/>
      <c r="BK115" s="4"/>
      <c r="BL115" s="4"/>
      <c r="BM115" s="4"/>
      <c r="BN115" s="4"/>
      <c r="BO115" s="4"/>
      <c r="BP115" s="4"/>
      <c r="BQ115" s="4"/>
      <c r="BR115" s="4"/>
      <c r="BS115" s="4"/>
    </row>
    <row r="116">
      <c r="A116" s="94" t="s">
        <v>389</v>
      </c>
      <c r="B116" s="95" t="s">
        <v>256</v>
      </c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  <c r="BC116" s="98"/>
      <c r="BD116" s="98"/>
      <c r="BE116" s="99"/>
      <c r="BF116" s="99"/>
      <c r="BG116" s="99"/>
      <c r="BH116" s="99"/>
      <c r="BI116" s="102"/>
      <c r="BJ116" s="4"/>
      <c r="BK116" s="4"/>
      <c r="BL116" s="4"/>
      <c r="BM116" s="4"/>
      <c r="BN116" s="4"/>
      <c r="BO116" s="4"/>
      <c r="BP116" s="4"/>
      <c r="BQ116" s="4"/>
      <c r="BR116" s="4"/>
      <c r="BS116" s="4"/>
    </row>
    <row r="117">
      <c r="A117" s="94" t="s">
        <v>390</v>
      </c>
      <c r="B117" s="95" t="s">
        <v>256</v>
      </c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9"/>
      <c r="BF117" s="99"/>
      <c r="BG117" s="99"/>
      <c r="BH117" s="99"/>
      <c r="BI117" s="102"/>
      <c r="BJ117" s="4"/>
      <c r="BK117" s="4"/>
      <c r="BL117" s="4"/>
      <c r="BM117" s="4"/>
      <c r="BN117" s="4"/>
      <c r="BO117" s="4"/>
      <c r="BP117" s="4"/>
      <c r="BQ117" s="4"/>
      <c r="BR117" s="4"/>
      <c r="BS117" s="4"/>
    </row>
    <row r="118">
      <c r="A118" s="94" t="s">
        <v>391</v>
      </c>
      <c r="B118" s="95" t="s">
        <v>256</v>
      </c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9"/>
      <c r="BF118" s="99"/>
      <c r="BG118" s="99"/>
      <c r="BH118" s="99"/>
      <c r="BI118" s="102"/>
      <c r="BJ118" s="4"/>
      <c r="BK118" s="4"/>
      <c r="BL118" s="4"/>
      <c r="BM118" s="4"/>
      <c r="BN118" s="4"/>
      <c r="BO118" s="4"/>
      <c r="BP118" s="4"/>
      <c r="BQ118" s="4"/>
      <c r="BR118" s="4"/>
      <c r="BS118" s="4"/>
    </row>
    <row r="119">
      <c r="A119" s="94" t="s">
        <v>392</v>
      </c>
      <c r="B119" s="95" t="s">
        <v>256</v>
      </c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9"/>
      <c r="BF119" s="99"/>
      <c r="BG119" s="99"/>
      <c r="BH119" s="99"/>
      <c r="BI119" s="102"/>
      <c r="BJ119" s="4"/>
      <c r="BK119" s="4"/>
      <c r="BL119" s="4"/>
      <c r="BM119" s="4"/>
      <c r="BN119" s="4"/>
      <c r="BO119" s="4"/>
      <c r="BP119" s="4"/>
      <c r="BQ119" s="4"/>
      <c r="BR119" s="4"/>
      <c r="BS119" s="4"/>
    </row>
    <row r="120">
      <c r="A120" s="94" t="s">
        <v>393</v>
      </c>
      <c r="B120" s="95" t="s">
        <v>256</v>
      </c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9"/>
      <c r="BF120" s="99"/>
      <c r="BG120" s="99"/>
      <c r="BH120" s="99"/>
      <c r="BI120" s="102"/>
      <c r="BJ120" s="4"/>
      <c r="BK120" s="4"/>
      <c r="BL120" s="4"/>
      <c r="BM120" s="4"/>
      <c r="BN120" s="4"/>
      <c r="BO120" s="4"/>
      <c r="BP120" s="4"/>
      <c r="BQ120" s="4"/>
      <c r="BR120" s="4"/>
      <c r="BS120" s="4"/>
    </row>
    <row r="121">
      <c r="A121" s="94" t="s">
        <v>394</v>
      </c>
      <c r="B121" s="95" t="s">
        <v>256</v>
      </c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9"/>
      <c r="BF121" s="99"/>
      <c r="BG121" s="99"/>
      <c r="BH121" s="99"/>
      <c r="BI121" s="102"/>
      <c r="BJ121" s="4"/>
      <c r="BK121" s="4"/>
      <c r="BL121" s="4"/>
      <c r="BM121" s="4"/>
      <c r="BN121" s="4"/>
      <c r="BO121" s="4"/>
      <c r="BP121" s="4"/>
      <c r="BQ121" s="4"/>
      <c r="BR121" s="4"/>
      <c r="BS121" s="4"/>
    </row>
    <row r="122">
      <c r="A122" s="94" t="s">
        <v>395</v>
      </c>
      <c r="B122" s="95" t="s">
        <v>256</v>
      </c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9"/>
      <c r="BF122" s="99"/>
      <c r="BG122" s="99"/>
      <c r="BH122" s="99"/>
      <c r="BI122" s="102"/>
      <c r="BJ122" s="4"/>
      <c r="BK122" s="4"/>
      <c r="BL122" s="4"/>
      <c r="BM122" s="4"/>
      <c r="BN122" s="4"/>
      <c r="BO122" s="4"/>
      <c r="BP122" s="4"/>
      <c r="BQ122" s="4"/>
      <c r="BR122" s="4"/>
      <c r="BS122" s="4"/>
    </row>
    <row r="123">
      <c r="A123" s="94" t="s">
        <v>396</v>
      </c>
      <c r="B123" s="95" t="s">
        <v>256</v>
      </c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9"/>
      <c r="BF123" s="99"/>
      <c r="BG123" s="99"/>
      <c r="BH123" s="99"/>
      <c r="BI123" s="102"/>
      <c r="BJ123" s="4"/>
      <c r="BK123" s="4"/>
      <c r="BL123" s="4"/>
      <c r="BM123" s="4"/>
      <c r="BN123" s="4"/>
      <c r="BO123" s="4"/>
      <c r="BP123" s="4"/>
      <c r="BQ123" s="4"/>
      <c r="BR123" s="4"/>
      <c r="BS123" s="4"/>
    </row>
    <row r="124">
      <c r="A124" s="94" t="s">
        <v>397</v>
      </c>
      <c r="B124" s="95" t="s">
        <v>256</v>
      </c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8"/>
      <c r="AV124" s="98"/>
      <c r="AW124" s="98"/>
      <c r="AX124" s="98"/>
      <c r="AY124" s="98"/>
      <c r="AZ124" s="98"/>
      <c r="BA124" s="98"/>
      <c r="BB124" s="98"/>
      <c r="BC124" s="98"/>
      <c r="BD124" s="98"/>
      <c r="BE124" s="99"/>
      <c r="BF124" s="99"/>
      <c r="BG124" s="99"/>
      <c r="BH124" s="99"/>
      <c r="BI124" s="102"/>
      <c r="BJ124" s="4"/>
      <c r="BK124" s="4"/>
      <c r="BL124" s="4"/>
      <c r="BM124" s="4"/>
      <c r="BN124" s="4"/>
      <c r="BO124" s="4"/>
      <c r="BP124" s="4"/>
      <c r="BQ124" s="4"/>
      <c r="BR124" s="4"/>
      <c r="BS124" s="4"/>
    </row>
    <row r="125">
      <c r="A125" s="94" t="s">
        <v>398</v>
      </c>
      <c r="B125" s="95" t="s">
        <v>256</v>
      </c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8"/>
      <c r="AL125" s="98"/>
      <c r="AM125" s="98"/>
      <c r="AN125" s="98"/>
      <c r="AO125" s="98"/>
      <c r="AP125" s="98"/>
      <c r="AQ125" s="98"/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9"/>
      <c r="BF125" s="99"/>
      <c r="BG125" s="99"/>
      <c r="BH125" s="99"/>
      <c r="BI125" s="102"/>
      <c r="BJ125" s="4"/>
      <c r="BK125" s="4"/>
      <c r="BL125" s="4"/>
      <c r="BM125" s="4"/>
      <c r="BN125" s="4"/>
      <c r="BO125" s="4"/>
      <c r="BP125" s="4"/>
      <c r="BQ125" s="4"/>
      <c r="BR125" s="4"/>
      <c r="BS125" s="4"/>
    </row>
    <row r="126">
      <c r="A126" s="168" t="s">
        <v>399</v>
      </c>
      <c r="B126" s="169" t="s">
        <v>256</v>
      </c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  <c r="AF126" s="170"/>
      <c r="AG126" s="170"/>
      <c r="AH126" s="170"/>
      <c r="AI126" s="170"/>
      <c r="AJ126" s="170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  <c r="AX126" s="171"/>
      <c r="AY126" s="171"/>
      <c r="AZ126" s="171"/>
      <c r="BA126" s="171"/>
      <c r="BB126" s="171"/>
      <c r="BC126" s="171"/>
      <c r="BD126" s="171"/>
      <c r="BE126" s="172"/>
      <c r="BF126" s="172"/>
      <c r="BG126" s="172"/>
      <c r="BH126" s="172"/>
      <c r="BI126" s="173"/>
      <c r="BJ126" s="4"/>
      <c r="BK126" s="4"/>
      <c r="BL126" s="4"/>
      <c r="BM126" s="4"/>
      <c r="BN126" s="4"/>
      <c r="BO126" s="4"/>
      <c r="BP126" s="4"/>
      <c r="BQ126" s="4"/>
      <c r="BR126" s="4"/>
      <c r="BS126" s="4"/>
    </row>
    <row r="127">
      <c r="A127" s="174" t="s">
        <v>400</v>
      </c>
      <c r="B127" s="175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7"/>
      <c r="AL127" s="177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8"/>
      <c r="BF127" s="178"/>
      <c r="BG127" s="178"/>
      <c r="BH127" s="178"/>
      <c r="BI127" s="175"/>
      <c r="BJ127" s="4"/>
      <c r="BK127" s="4"/>
      <c r="BL127" s="4"/>
      <c r="BM127" s="4"/>
      <c r="BN127" s="4"/>
      <c r="BO127" s="4"/>
      <c r="BP127" s="4"/>
      <c r="BQ127" s="4"/>
      <c r="BR127" s="4"/>
      <c r="BS127" s="4"/>
    </row>
    <row r="128">
      <c r="A128" s="94" t="s">
        <v>401</v>
      </c>
      <c r="B128" s="95" t="s">
        <v>326</v>
      </c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  <c r="BC128" s="98"/>
      <c r="BD128" s="98"/>
      <c r="BE128" s="99"/>
      <c r="BF128" s="99"/>
      <c r="BG128" s="99"/>
      <c r="BH128" s="99"/>
      <c r="BI128" s="102"/>
      <c r="BJ128" s="4"/>
      <c r="BK128" s="4"/>
      <c r="BL128" s="4"/>
      <c r="BM128" s="4"/>
      <c r="BN128" s="4"/>
      <c r="BO128" s="4"/>
      <c r="BP128" s="4"/>
      <c r="BQ128" s="4"/>
      <c r="BR128" s="4"/>
      <c r="BS128" s="4"/>
    </row>
    <row r="129">
      <c r="A129" s="94" t="s">
        <v>402</v>
      </c>
      <c r="B129" s="95" t="s">
        <v>326</v>
      </c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9"/>
      <c r="BF129" s="99"/>
      <c r="BG129" s="99"/>
      <c r="BH129" s="99"/>
      <c r="BI129" s="102"/>
      <c r="BJ129" s="4"/>
      <c r="BK129" s="4"/>
      <c r="BL129" s="4"/>
      <c r="BM129" s="4"/>
      <c r="BN129" s="4"/>
      <c r="BO129" s="4"/>
      <c r="BP129" s="4"/>
      <c r="BQ129" s="4"/>
      <c r="BR129" s="4"/>
      <c r="BS129" s="4"/>
    </row>
    <row r="130">
      <c r="A130" s="94" t="s">
        <v>403</v>
      </c>
      <c r="B130" s="95" t="s">
        <v>326</v>
      </c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  <c r="AU130" s="98"/>
      <c r="AV130" s="98"/>
      <c r="AW130" s="98"/>
      <c r="AX130" s="98"/>
      <c r="AY130" s="98"/>
      <c r="AZ130" s="98"/>
      <c r="BA130" s="98"/>
      <c r="BB130" s="98"/>
      <c r="BC130" s="98"/>
      <c r="BD130" s="98"/>
      <c r="BE130" s="99"/>
      <c r="BF130" s="99"/>
      <c r="BG130" s="99"/>
      <c r="BH130" s="99"/>
      <c r="BI130" s="102"/>
      <c r="BJ130" s="4"/>
      <c r="BK130" s="4"/>
      <c r="BL130" s="4"/>
      <c r="BM130" s="4"/>
      <c r="BN130" s="4"/>
      <c r="BO130" s="4"/>
      <c r="BP130" s="4"/>
      <c r="BQ130" s="4"/>
      <c r="BR130" s="4"/>
      <c r="BS130" s="4"/>
    </row>
    <row r="131">
      <c r="A131" s="140" t="s">
        <v>404</v>
      </c>
      <c r="B131" s="141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  <c r="BD131" s="143"/>
      <c r="BE131" s="144"/>
      <c r="BF131" s="144"/>
      <c r="BG131" s="144"/>
      <c r="BH131" s="144"/>
      <c r="BI131" s="141"/>
      <c r="BJ131" s="4"/>
      <c r="BK131" s="4"/>
      <c r="BL131" s="4"/>
      <c r="BM131" s="4"/>
      <c r="BN131" s="4"/>
      <c r="BO131" s="4"/>
      <c r="BP131" s="4"/>
      <c r="BQ131" s="4"/>
      <c r="BR131" s="4"/>
      <c r="BS131" s="4"/>
    </row>
    <row r="132">
      <c r="A132" s="94" t="s">
        <v>405</v>
      </c>
      <c r="B132" s="95" t="s">
        <v>406</v>
      </c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/>
      <c r="AX132" s="98"/>
      <c r="AY132" s="98"/>
      <c r="AZ132" s="98"/>
      <c r="BA132" s="98"/>
      <c r="BB132" s="98"/>
      <c r="BC132" s="98"/>
      <c r="BD132" s="98"/>
      <c r="BE132" s="99"/>
      <c r="BF132" s="99"/>
      <c r="BG132" s="99"/>
      <c r="BH132" s="99"/>
      <c r="BI132" s="102"/>
      <c r="BJ132" s="4"/>
      <c r="BK132" s="4"/>
      <c r="BL132" s="4"/>
      <c r="BM132" s="4"/>
      <c r="BN132" s="4"/>
      <c r="BO132" s="4"/>
      <c r="BP132" s="4"/>
      <c r="BQ132" s="4"/>
      <c r="BR132" s="4"/>
      <c r="BS132" s="4"/>
    </row>
    <row r="133">
      <c r="A133" s="94" t="s">
        <v>407</v>
      </c>
      <c r="B133" s="95" t="s">
        <v>408</v>
      </c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8"/>
      <c r="AL133" s="98"/>
      <c r="AM133" s="98"/>
      <c r="AN133" s="98"/>
      <c r="AO133" s="98"/>
      <c r="AP133" s="98"/>
      <c r="AQ133" s="98"/>
      <c r="AR133" s="98"/>
      <c r="AS133" s="98"/>
      <c r="AT133" s="98"/>
      <c r="AU133" s="98"/>
      <c r="AV133" s="98"/>
      <c r="AW133" s="98"/>
      <c r="AX133" s="98"/>
      <c r="AY133" s="98"/>
      <c r="AZ133" s="98"/>
      <c r="BA133" s="98"/>
      <c r="BB133" s="98"/>
      <c r="BC133" s="98"/>
      <c r="BD133" s="98"/>
      <c r="BE133" s="99"/>
      <c r="BF133" s="99"/>
      <c r="BG133" s="99"/>
      <c r="BH133" s="99"/>
      <c r="BI133" s="102"/>
      <c r="BJ133" s="4"/>
      <c r="BK133" s="4"/>
      <c r="BL133" s="4"/>
      <c r="BM133" s="4"/>
      <c r="BN133" s="4"/>
      <c r="BO133" s="4"/>
      <c r="BP133" s="4"/>
      <c r="BQ133" s="4"/>
      <c r="BR133" s="4"/>
      <c r="BS133" s="4"/>
    </row>
    <row r="134">
      <c r="A134" s="94" t="s">
        <v>409</v>
      </c>
      <c r="B134" s="95" t="s">
        <v>256</v>
      </c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8"/>
      <c r="AL134" s="98"/>
      <c r="AM134" s="98"/>
      <c r="AN134" s="98"/>
      <c r="AO134" s="98"/>
      <c r="AP134" s="98"/>
      <c r="AQ134" s="98"/>
      <c r="AR134" s="98"/>
      <c r="AS134" s="98"/>
      <c r="AT134" s="98"/>
      <c r="AU134" s="98"/>
      <c r="AV134" s="98"/>
      <c r="AW134" s="98"/>
      <c r="AX134" s="98"/>
      <c r="AY134" s="98"/>
      <c r="AZ134" s="98"/>
      <c r="BA134" s="98"/>
      <c r="BB134" s="98"/>
      <c r="BC134" s="98"/>
      <c r="BD134" s="98"/>
      <c r="BE134" s="99"/>
      <c r="BF134" s="99"/>
      <c r="BG134" s="99"/>
      <c r="BH134" s="99"/>
      <c r="BI134" s="102"/>
      <c r="BJ134" s="4"/>
      <c r="BK134" s="4"/>
      <c r="BL134" s="4"/>
      <c r="BM134" s="4"/>
      <c r="BN134" s="4"/>
      <c r="BO134" s="4"/>
      <c r="BP134" s="4"/>
      <c r="BQ134" s="4"/>
      <c r="BR134" s="4"/>
      <c r="BS134" s="4"/>
    </row>
    <row r="135">
      <c r="A135" s="94" t="s">
        <v>410</v>
      </c>
      <c r="B135" s="95" t="s">
        <v>94</v>
      </c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8"/>
      <c r="AL135" s="98"/>
      <c r="AM135" s="98"/>
      <c r="AN135" s="98"/>
      <c r="AO135" s="98"/>
      <c r="AP135" s="98"/>
      <c r="AQ135" s="98"/>
      <c r="AR135" s="98"/>
      <c r="AS135" s="98"/>
      <c r="AT135" s="98"/>
      <c r="AU135" s="98"/>
      <c r="AV135" s="98"/>
      <c r="AW135" s="98"/>
      <c r="AX135" s="98"/>
      <c r="AY135" s="98"/>
      <c r="AZ135" s="98"/>
      <c r="BA135" s="98"/>
      <c r="BB135" s="98"/>
      <c r="BC135" s="98"/>
      <c r="BD135" s="98"/>
      <c r="BE135" s="99"/>
      <c r="BF135" s="99"/>
      <c r="BG135" s="99"/>
      <c r="BH135" s="99"/>
      <c r="BI135" s="102"/>
      <c r="BJ135" s="4"/>
      <c r="BK135" s="4"/>
      <c r="BL135" s="4"/>
      <c r="BM135" s="4"/>
      <c r="BN135" s="4"/>
      <c r="BO135" s="4"/>
      <c r="BP135" s="4"/>
      <c r="BQ135" s="4"/>
      <c r="BR135" s="4"/>
      <c r="BS135" s="4"/>
    </row>
    <row r="136">
      <c r="A136" s="94" t="s">
        <v>411</v>
      </c>
      <c r="B136" s="95" t="s">
        <v>256</v>
      </c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8"/>
      <c r="AL136" s="98"/>
      <c r="AM136" s="98"/>
      <c r="AN136" s="98"/>
      <c r="AO136" s="98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  <c r="BC136" s="98"/>
      <c r="BD136" s="98"/>
      <c r="BE136" s="99"/>
      <c r="BF136" s="99"/>
      <c r="BG136" s="99"/>
      <c r="BH136" s="99"/>
      <c r="BI136" s="102"/>
      <c r="BJ136" s="4"/>
      <c r="BK136" s="4"/>
      <c r="BL136" s="4"/>
      <c r="BM136" s="4"/>
      <c r="BN136" s="4"/>
      <c r="BO136" s="4"/>
      <c r="BP136" s="4"/>
      <c r="BQ136" s="4"/>
      <c r="BR136" s="4"/>
      <c r="BS136" s="4"/>
    </row>
    <row r="137">
      <c r="A137" s="164"/>
      <c r="B137" s="102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8"/>
      <c r="AL137" s="98"/>
      <c r="AM137" s="98"/>
      <c r="AN137" s="98"/>
      <c r="AO137" s="98"/>
      <c r="AP137" s="98"/>
      <c r="AQ137" s="98"/>
      <c r="AR137" s="98"/>
      <c r="AS137" s="98"/>
      <c r="AT137" s="98"/>
      <c r="AU137" s="98"/>
      <c r="AV137" s="98"/>
      <c r="AW137" s="98"/>
      <c r="AX137" s="98"/>
      <c r="AY137" s="98"/>
      <c r="AZ137" s="98"/>
      <c r="BA137" s="98"/>
      <c r="BB137" s="98"/>
      <c r="BC137" s="98"/>
      <c r="BD137" s="98"/>
      <c r="BE137" s="99"/>
      <c r="BF137" s="99"/>
      <c r="BG137" s="99"/>
      <c r="BH137" s="99"/>
      <c r="BI137" s="102"/>
      <c r="BJ137" s="4"/>
      <c r="BK137" s="4"/>
      <c r="BL137" s="4"/>
      <c r="BM137" s="4"/>
      <c r="BN137" s="4"/>
      <c r="BO137" s="4"/>
      <c r="BP137" s="4"/>
      <c r="BQ137" s="4"/>
      <c r="BR137" s="4"/>
      <c r="BS137" s="4"/>
    </row>
    <row r="138">
      <c r="A138" s="164"/>
      <c r="B138" s="102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8"/>
      <c r="AL138" s="98"/>
      <c r="AM138" s="98"/>
      <c r="AN138" s="98"/>
      <c r="AO138" s="98"/>
      <c r="AP138" s="98"/>
      <c r="AQ138" s="98"/>
      <c r="AR138" s="98"/>
      <c r="AS138" s="98"/>
      <c r="AT138" s="98"/>
      <c r="AU138" s="98"/>
      <c r="AV138" s="98"/>
      <c r="AW138" s="98"/>
      <c r="AX138" s="98"/>
      <c r="AY138" s="98"/>
      <c r="AZ138" s="98"/>
      <c r="BA138" s="98"/>
      <c r="BB138" s="98"/>
      <c r="BC138" s="98"/>
      <c r="BD138" s="98"/>
      <c r="BE138" s="99"/>
      <c r="BF138" s="99"/>
      <c r="BG138" s="99"/>
      <c r="BH138" s="99"/>
      <c r="BI138" s="102"/>
      <c r="BJ138" s="4"/>
      <c r="BK138" s="4"/>
      <c r="BL138" s="4"/>
      <c r="BM138" s="4"/>
      <c r="BN138" s="4"/>
      <c r="BO138" s="4"/>
      <c r="BP138" s="4"/>
      <c r="BQ138" s="4"/>
      <c r="BR138" s="4"/>
      <c r="BS138" s="4"/>
    </row>
    <row r="139">
      <c r="A139" s="140" t="s">
        <v>412</v>
      </c>
      <c r="B139" s="141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  <c r="BD139" s="143"/>
      <c r="BE139" s="144"/>
      <c r="BF139" s="144"/>
      <c r="BG139" s="144"/>
      <c r="BH139" s="144"/>
      <c r="BI139" s="141"/>
      <c r="BJ139" s="4"/>
      <c r="BK139" s="4"/>
      <c r="BL139" s="4"/>
      <c r="BM139" s="4"/>
      <c r="BN139" s="4"/>
      <c r="BO139" s="4"/>
      <c r="BP139" s="4"/>
      <c r="BQ139" s="4"/>
      <c r="BR139" s="4"/>
      <c r="BS139" s="4"/>
    </row>
    <row r="140">
      <c r="A140" s="94" t="s">
        <v>413</v>
      </c>
      <c r="B140" s="95" t="s">
        <v>287</v>
      </c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8"/>
      <c r="AL140" s="98"/>
      <c r="AM140" s="98"/>
      <c r="AN140" s="98"/>
      <c r="AO140" s="98"/>
      <c r="AP140" s="98"/>
      <c r="AQ140" s="98"/>
      <c r="AR140" s="98"/>
      <c r="AS140" s="98"/>
      <c r="AT140" s="98"/>
      <c r="AU140" s="98"/>
      <c r="AV140" s="98"/>
      <c r="AW140" s="98"/>
      <c r="AX140" s="98"/>
      <c r="AY140" s="98"/>
      <c r="AZ140" s="98"/>
      <c r="BA140" s="98"/>
      <c r="BB140" s="98"/>
      <c r="BC140" s="98"/>
      <c r="BD140" s="98"/>
      <c r="BE140" s="99"/>
      <c r="BF140" s="99"/>
      <c r="BG140" s="99"/>
      <c r="BH140" s="99"/>
      <c r="BI140" s="102"/>
      <c r="BJ140" s="4"/>
      <c r="BK140" s="4"/>
      <c r="BL140" s="4"/>
      <c r="BM140" s="4"/>
      <c r="BN140" s="4"/>
      <c r="BO140" s="4"/>
      <c r="BP140" s="4"/>
      <c r="BQ140" s="4"/>
      <c r="BR140" s="4"/>
      <c r="BS140" s="4"/>
    </row>
    <row r="141">
      <c r="A141" s="94" t="s">
        <v>414</v>
      </c>
      <c r="B141" s="95" t="s">
        <v>287</v>
      </c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8"/>
      <c r="AL141" s="98"/>
      <c r="AM141" s="98"/>
      <c r="AN141" s="98"/>
      <c r="AO141" s="98"/>
      <c r="AP141" s="98"/>
      <c r="AQ141" s="98"/>
      <c r="AR141" s="98"/>
      <c r="AS141" s="98"/>
      <c r="AT141" s="98"/>
      <c r="AU141" s="98"/>
      <c r="AV141" s="98"/>
      <c r="AW141" s="98"/>
      <c r="AX141" s="98"/>
      <c r="AY141" s="98"/>
      <c r="AZ141" s="98"/>
      <c r="BA141" s="98"/>
      <c r="BB141" s="98"/>
      <c r="BC141" s="98"/>
      <c r="BD141" s="98"/>
      <c r="BE141" s="99"/>
      <c r="BF141" s="99"/>
      <c r="BG141" s="99"/>
      <c r="BH141" s="99"/>
      <c r="BI141" s="102"/>
      <c r="BJ141" s="4"/>
      <c r="BK141" s="4"/>
      <c r="BL141" s="4"/>
      <c r="BM141" s="4"/>
      <c r="BN141" s="4"/>
      <c r="BO141" s="4"/>
      <c r="BP141" s="4"/>
      <c r="BQ141" s="4"/>
      <c r="BR141" s="4"/>
      <c r="BS141" s="4"/>
    </row>
    <row r="142">
      <c r="A142" s="94" t="s">
        <v>415</v>
      </c>
      <c r="B142" s="95" t="s">
        <v>287</v>
      </c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8"/>
      <c r="AL142" s="98"/>
      <c r="AM142" s="98"/>
      <c r="AN142" s="98"/>
      <c r="AO142" s="98"/>
      <c r="AP142" s="98"/>
      <c r="AQ142" s="98"/>
      <c r="AR142" s="98"/>
      <c r="AS142" s="98"/>
      <c r="AT142" s="98"/>
      <c r="AU142" s="98"/>
      <c r="AV142" s="98"/>
      <c r="AW142" s="98"/>
      <c r="AX142" s="98"/>
      <c r="AY142" s="98"/>
      <c r="AZ142" s="98"/>
      <c r="BA142" s="98"/>
      <c r="BB142" s="98"/>
      <c r="BC142" s="98"/>
      <c r="BD142" s="98"/>
      <c r="BE142" s="99"/>
      <c r="BF142" s="99"/>
      <c r="BG142" s="99"/>
      <c r="BH142" s="99"/>
      <c r="BI142" s="102"/>
      <c r="BJ142" s="4"/>
      <c r="BK142" s="4"/>
      <c r="BL142" s="4"/>
      <c r="BM142" s="4"/>
      <c r="BN142" s="4"/>
      <c r="BO142" s="4"/>
      <c r="BP142" s="4"/>
      <c r="BQ142" s="4"/>
      <c r="BR142" s="4"/>
      <c r="BS142" s="4"/>
    </row>
    <row r="143">
      <c r="A143" s="164"/>
      <c r="B143" s="102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8"/>
      <c r="AL143" s="98"/>
      <c r="AM143" s="98"/>
      <c r="AN143" s="98"/>
      <c r="AO143" s="98"/>
      <c r="AP143" s="98"/>
      <c r="AQ143" s="98"/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/>
      <c r="BC143" s="98"/>
      <c r="BD143" s="98"/>
      <c r="BE143" s="99"/>
      <c r="BF143" s="99"/>
      <c r="BG143" s="99"/>
      <c r="BH143" s="99"/>
      <c r="BI143" s="102"/>
      <c r="BJ143" s="4"/>
      <c r="BK143" s="4"/>
      <c r="BL143" s="4"/>
      <c r="BM143" s="4"/>
      <c r="BN143" s="4"/>
      <c r="BO143" s="4"/>
      <c r="BP143" s="4"/>
      <c r="BQ143" s="4"/>
      <c r="BR143" s="4"/>
      <c r="BS143" s="4"/>
    </row>
    <row r="144">
      <c r="A144" s="140" t="s">
        <v>416</v>
      </c>
      <c r="B144" s="161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  <c r="BD144" s="143"/>
      <c r="BE144" s="144"/>
      <c r="BF144" s="144"/>
      <c r="BG144" s="144"/>
      <c r="BH144" s="144"/>
      <c r="BI144" s="161"/>
      <c r="BJ144" s="4"/>
      <c r="BK144" s="4"/>
      <c r="BL144" s="4"/>
      <c r="BM144" s="4"/>
      <c r="BN144" s="4"/>
      <c r="BO144" s="4"/>
      <c r="BP144" s="4"/>
      <c r="BQ144" s="4"/>
      <c r="BR144" s="4"/>
      <c r="BS144" s="4"/>
    </row>
    <row r="145">
      <c r="A145" s="94" t="s">
        <v>417</v>
      </c>
      <c r="B145" s="95" t="s">
        <v>256</v>
      </c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8"/>
      <c r="AL145" s="98"/>
      <c r="AM145" s="98"/>
      <c r="AN145" s="98"/>
      <c r="AO145" s="98"/>
      <c r="AP145" s="98"/>
      <c r="AQ145" s="98"/>
      <c r="AR145" s="98"/>
      <c r="AS145" s="98"/>
      <c r="AT145" s="98"/>
      <c r="AU145" s="98"/>
      <c r="AV145" s="98"/>
      <c r="AW145" s="98"/>
      <c r="AX145" s="98"/>
      <c r="AY145" s="98"/>
      <c r="AZ145" s="98"/>
      <c r="BA145" s="98"/>
      <c r="BB145" s="98"/>
      <c r="BC145" s="98"/>
      <c r="BD145" s="98"/>
      <c r="BE145" s="99"/>
      <c r="BF145" s="99"/>
      <c r="BG145" s="99"/>
      <c r="BH145" s="99"/>
      <c r="BI145" s="102"/>
      <c r="BJ145" s="4"/>
      <c r="BK145" s="4"/>
      <c r="BL145" s="4"/>
      <c r="BM145" s="4"/>
      <c r="BN145" s="4"/>
      <c r="BO145" s="4"/>
      <c r="BP145" s="4"/>
      <c r="BQ145" s="4"/>
      <c r="BR145" s="4"/>
      <c r="BS145" s="4"/>
    </row>
    <row r="146">
      <c r="A146" s="94" t="s">
        <v>418</v>
      </c>
      <c r="B146" s="95" t="s">
        <v>419</v>
      </c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8"/>
      <c r="AL146" s="98"/>
      <c r="AM146" s="98"/>
      <c r="AN146" s="98"/>
      <c r="AO146" s="98"/>
      <c r="AP146" s="98"/>
      <c r="AQ146" s="98"/>
      <c r="AR146" s="98"/>
      <c r="AS146" s="98"/>
      <c r="AT146" s="98"/>
      <c r="AU146" s="98"/>
      <c r="AV146" s="98"/>
      <c r="AW146" s="98"/>
      <c r="AX146" s="98"/>
      <c r="AY146" s="98"/>
      <c r="AZ146" s="98"/>
      <c r="BA146" s="98"/>
      <c r="BB146" s="98"/>
      <c r="BC146" s="98"/>
      <c r="BD146" s="98"/>
      <c r="BE146" s="99"/>
      <c r="BF146" s="99"/>
      <c r="BG146" s="99"/>
      <c r="BH146" s="99"/>
      <c r="BI146" s="102"/>
      <c r="BJ146" s="4"/>
      <c r="BK146" s="4"/>
      <c r="BL146" s="4"/>
      <c r="BM146" s="4"/>
      <c r="BN146" s="4"/>
      <c r="BO146" s="4"/>
      <c r="BP146" s="4"/>
      <c r="BQ146" s="4"/>
      <c r="BR146" s="4"/>
      <c r="BS146" s="4"/>
    </row>
    <row r="147">
      <c r="A147" s="94" t="s">
        <v>420</v>
      </c>
      <c r="B147" s="95" t="s">
        <v>256</v>
      </c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8"/>
      <c r="AL147" s="98"/>
      <c r="AM147" s="98"/>
      <c r="AN147" s="98"/>
      <c r="AO147" s="98"/>
      <c r="AP147" s="98"/>
      <c r="AQ147" s="98"/>
      <c r="AR147" s="98"/>
      <c r="AS147" s="98"/>
      <c r="AT147" s="98"/>
      <c r="AU147" s="98"/>
      <c r="AV147" s="98"/>
      <c r="AW147" s="98"/>
      <c r="AX147" s="98"/>
      <c r="AY147" s="98"/>
      <c r="AZ147" s="98"/>
      <c r="BA147" s="98"/>
      <c r="BB147" s="98"/>
      <c r="BC147" s="98"/>
      <c r="BD147" s="98"/>
      <c r="BE147" s="99"/>
      <c r="BF147" s="99"/>
      <c r="BG147" s="99"/>
      <c r="BH147" s="99"/>
      <c r="BI147" s="102"/>
      <c r="BJ147" s="4"/>
      <c r="BK147" s="4"/>
      <c r="BL147" s="4"/>
      <c r="BM147" s="4"/>
      <c r="BN147" s="4"/>
      <c r="BO147" s="4"/>
      <c r="BP147" s="4"/>
      <c r="BQ147" s="4"/>
      <c r="BR147" s="4"/>
      <c r="BS147" s="4"/>
    </row>
    <row r="148">
      <c r="A148" s="140" t="s">
        <v>421</v>
      </c>
      <c r="B148" s="141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  <c r="BD148" s="143"/>
      <c r="BE148" s="144"/>
      <c r="BF148" s="144"/>
      <c r="BG148" s="144"/>
      <c r="BH148" s="144"/>
      <c r="BI148" s="141"/>
      <c r="BJ148" s="4"/>
      <c r="BK148" s="4"/>
      <c r="BL148" s="4"/>
      <c r="BM148" s="4"/>
      <c r="BN148" s="4"/>
      <c r="BO148" s="4"/>
      <c r="BP148" s="4"/>
      <c r="BQ148" s="4"/>
      <c r="BR148" s="4"/>
      <c r="BS148" s="4"/>
    </row>
    <row r="149">
      <c r="A149" s="94" t="s">
        <v>422</v>
      </c>
      <c r="B149" s="95" t="s">
        <v>354</v>
      </c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8"/>
      <c r="AL149" s="98"/>
      <c r="AM149" s="98"/>
      <c r="AN149" s="98"/>
      <c r="AO149" s="98"/>
      <c r="AP149" s="98"/>
      <c r="AQ149" s="98"/>
      <c r="AR149" s="98"/>
      <c r="AS149" s="98"/>
      <c r="AT149" s="98"/>
      <c r="AU149" s="98"/>
      <c r="AV149" s="98"/>
      <c r="AW149" s="98"/>
      <c r="AX149" s="98"/>
      <c r="AY149" s="98"/>
      <c r="AZ149" s="98"/>
      <c r="BA149" s="98"/>
      <c r="BB149" s="98"/>
      <c r="BC149" s="98"/>
      <c r="BD149" s="98"/>
      <c r="BE149" s="99"/>
      <c r="BF149" s="99"/>
      <c r="BG149" s="99"/>
      <c r="BH149" s="99"/>
      <c r="BI149" s="102"/>
      <c r="BJ149" s="4"/>
      <c r="BK149" s="4"/>
      <c r="BL149" s="4"/>
      <c r="BM149" s="4"/>
      <c r="BN149" s="4"/>
      <c r="BO149" s="4"/>
      <c r="BP149" s="4"/>
      <c r="BQ149" s="4"/>
      <c r="BR149" s="4"/>
      <c r="BS149" s="4"/>
    </row>
    <row r="150">
      <c r="A150" s="94" t="s">
        <v>423</v>
      </c>
      <c r="B150" s="102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8"/>
      <c r="AL150" s="98"/>
      <c r="AM150" s="98"/>
      <c r="AN150" s="98"/>
      <c r="AO150" s="98"/>
      <c r="AP150" s="98"/>
      <c r="AQ150" s="98"/>
      <c r="AR150" s="98"/>
      <c r="AS150" s="98"/>
      <c r="AT150" s="98"/>
      <c r="AU150" s="98"/>
      <c r="AV150" s="98"/>
      <c r="AW150" s="98"/>
      <c r="AX150" s="98"/>
      <c r="AY150" s="98"/>
      <c r="AZ150" s="98"/>
      <c r="BA150" s="98"/>
      <c r="BB150" s="98"/>
      <c r="BC150" s="98"/>
      <c r="BD150" s="98"/>
      <c r="BE150" s="99"/>
      <c r="BF150" s="99"/>
      <c r="BG150" s="99"/>
      <c r="BH150" s="99"/>
      <c r="BI150" s="102"/>
      <c r="BJ150" s="4"/>
      <c r="BK150" s="4"/>
      <c r="BL150" s="4"/>
      <c r="BM150" s="4"/>
      <c r="BN150" s="4"/>
      <c r="BO150" s="4"/>
      <c r="BP150" s="4"/>
      <c r="BQ150" s="4"/>
      <c r="BR150" s="4"/>
      <c r="BS150" s="4"/>
    </row>
    <row r="151">
      <c r="A151" s="94" t="s">
        <v>424</v>
      </c>
      <c r="B151" s="95" t="s">
        <v>256</v>
      </c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8"/>
      <c r="AL151" s="98"/>
      <c r="AM151" s="98"/>
      <c r="AN151" s="98"/>
      <c r="AO151" s="98"/>
      <c r="AP151" s="98"/>
      <c r="AQ151" s="98"/>
      <c r="AR151" s="98"/>
      <c r="AS151" s="98"/>
      <c r="AT151" s="98"/>
      <c r="AU151" s="98"/>
      <c r="AV151" s="98"/>
      <c r="AW151" s="98"/>
      <c r="AX151" s="98"/>
      <c r="AY151" s="98"/>
      <c r="AZ151" s="98"/>
      <c r="BA151" s="98"/>
      <c r="BB151" s="98"/>
      <c r="BC151" s="98"/>
      <c r="BD151" s="98"/>
      <c r="BE151" s="99"/>
      <c r="BF151" s="99"/>
      <c r="BG151" s="99"/>
      <c r="BH151" s="99"/>
      <c r="BI151" s="102"/>
      <c r="BJ151" s="4"/>
      <c r="BK151" s="4"/>
      <c r="BL151" s="4"/>
      <c r="BM151" s="4"/>
      <c r="BN151" s="4"/>
      <c r="BO151" s="4"/>
      <c r="BP151" s="4"/>
      <c r="BQ151" s="4"/>
      <c r="BR151" s="4"/>
      <c r="BS151" s="4"/>
    </row>
    <row r="152">
      <c r="A152" s="94" t="s">
        <v>425</v>
      </c>
      <c r="B152" s="95" t="s">
        <v>83</v>
      </c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8"/>
      <c r="AL152" s="98"/>
      <c r="AM152" s="98"/>
      <c r="AN152" s="98"/>
      <c r="AO152" s="98"/>
      <c r="AP152" s="98"/>
      <c r="AQ152" s="98"/>
      <c r="AR152" s="98"/>
      <c r="AS152" s="98"/>
      <c r="AT152" s="98"/>
      <c r="AU152" s="98"/>
      <c r="AV152" s="98"/>
      <c r="AW152" s="98"/>
      <c r="AX152" s="98"/>
      <c r="AY152" s="98"/>
      <c r="AZ152" s="98"/>
      <c r="BA152" s="98"/>
      <c r="BB152" s="98"/>
      <c r="BC152" s="98"/>
      <c r="BD152" s="98"/>
      <c r="BE152" s="99"/>
      <c r="BF152" s="99"/>
      <c r="BG152" s="99"/>
      <c r="BH152" s="99"/>
      <c r="BI152" s="102"/>
      <c r="BJ152" s="4"/>
      <c r="BK152" s="4"/>
      <c r="BL152" s="4"/>
      <c r="BM152" s="4"/>
      <c r="BN152" s="4"/>
      <c r="BO152" s="4"/>
      <c r="BP152" s="4"/>
      <c r="BQ152" s="4"/>
      <c r="BR152" s="4"/>
      <c r="BS152" s="4"/>
    </row>
    <row r="153">
      <c r="A153" s="94" t="s">
        <v>426</v>
      </c>
      <c r="B153" s="95" t="s">
        <v>289</v>
      </c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8"/>
      <c r="AL153" s="98"/>
      <c r="AM153" s="98"/>
      <c r="AN153" s="98"/>
      <c r="AO153" s="98"/>
      <c r="AP153" s="98"/>
      <c r="AQ153" s="98"/>
      <c r="AR153" s="98"/>
      <c r="AS153" s="98"/>
      <c r="AT153" s="98"/>
      <c r="AU153" s="98"/>
      <c r="AV153" s="98"/>
      <c r="AW153" s="98"/>
      <c r="AX153" s="98"/>
      <c r="AY153" s="98"/>
      <c r="AZ153" s="98"/>
      <c r="BA153" s="98"/>
      <c r="BB153" s="98"/>
      <c r="BC153" s="98"/>
      <c r="BD153" s="98"/>
      <c r="BE153" s="99"/>
      <c r="BF153" s="99"/>
      <c r="BG153" s="99"/>
      <c r="BH153" s="99"/>
      <c r="BI153" s="102"/>
      <c r="BJ153" s="4"/>
      <c r="BK153" s="4"/>
      <c r="BL153" s="4"/>
      <c r="BM153" s="4"/>
      <c r="BN153" s="4"/>
      <c r="BO153" s="4"/>
      <c r="BP153" s="4"/>
      <c r="BQ153" s="4"/>
      <c r="BR153" s="4"/>
      <c r="BS153" s="4"/>
    </row>
    <row r="154">
      <c r="A154" s="94" t="s">
        <v>427</v>
      </c>
      <c r="B154" s="95" t="s">
        <v>287</v>
      </c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8"/>
      <c r="AL154" s="98"/>
      <c r="AM154" s="98"/>
      <c r="AN154" s="98"/>
      <c r="AO154" s="98"/>
      <c r="AP154" s="98"/>
      <c r="AQ154" s="98"/>
      <c r="AR154" s="98"/>
      <c r="AS154" s="98"/>
      <c r="AT154" s="98"/>
      <c r="AU154" s="98"/>
      <c r="AV154" s="98"/>
      <c r="AW154" s="98"/>
      <c r="AX154" s="98"/>
      <c r="AY154" s="98"/>
      <c r="AZ154" s="98"/>
      <c r="BA154" s="98"/>
      <c r="BB154" s="98"/>
      <c r="BC154" s="98"/>
      <c r="BD154" s="98"/>
      <c r="BE154" s="99"/>
      <c r="BF154" s="99"/>
      <c r="BG154" s="99"/>
      <c r="BH154" s="99"/>
      <c r="BI154" s="102"/>
      <c r="BJ154" s="4"/>
      <c r="BK154" s="4"/>
      <c r="BL154" s="4"/>
      <c r="BM154" s="4"/>
      <c r="BN154" s="4"/>
      <c r="BO154" s="4"/>
      <c r="BP154" s="4"/>
      <c r="BQ154" s="4"/>
      <c r="BR154" s="4"/>
      <c r="BS154" s="4"/>
    </row>
    <row r="155">
      <c r="A155" s="164"/>
      <c r="B155" s="102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8"/>
      <c r="AL155" s="98"/>
      <c r="AM155" s="98"/>
      <c r="AN155" s="98"/>
      <c r="AO155" s="98"/>
      <c r="AP155" s="98"/>
      <c r="AQ155" s="98"/>
      <c r="AR155" s="98"/>
      <c r="AS155" s="98"/>
      <c r="AT155" s="98"/>
      <c r="AU155" s="98"/>
      <c r="AV155" s="98"/>
      <c r="AW155" s="98"/>
      <c r="AX155" s="98"/>
      <c r="AY155" s="98"/>
      <c r="AZ155" s="98"/>
      <c r="BA155" s="98"/>
      <c r="BB155" s="98"/>
      <c r="BC155" s="98"/>
      <c r="BD155" s="98"/>
      <c r="BE155" s="99"/>
      <c r="BF155" s="99"/>
      <c r="BG155" s="99"/>
      <c r="BH155" s="99"/>
      <c r="BI155" s="102"/>
      <c r="BJ155" s="4"/>
      <c r="BK155" s="4"/>
      <c r="BL155" s="4"/>
      <c r="BM155" s="4"/>
      <c r="BN155" s="4"/>
      <c r="BO155" s="4"/>
      <c r="BP155" s="4"/>
      <c r="BQ155" s="4"/>
      <c r="BR155" s="4"/>
      <c r="BS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</row>
  </sheetData>
  <mergeCells count="20">
    <mergeCell ref="AG5:AJ5"/>
    <mergeCell ref="I5:L5"/>
    <mergeCell ref="Y5:AB5"/>
    <mergeCell ref="Q5:T5"/>
    <mergeCell ref="U5:X5"/>
    <mergeCell ref="M5:P5"/>
    <mergeCell ref="AC5:AF5"/>
    <mergeCell ref="BE4:BH4"/>
    <mergeCell ref="BI3:BI4"/>
    <mergeCell ref="BE5:BH5"/>
    <mergeCell ref="C4:AJ4"/>
    <mergeCell ref="A2:BI2"/>
    <mergeCell ref="AS5:AV5"/>
    <mergeCell ref="BA5:BD5"/>
    <mergeCell ref="AW5:AZ5"/>
    <mergeCell ref="AK5:AN5"/>
    <mergeCell ref="AK4:BD4"/>
    <mergeCell ref="E5:H5"/>
    <mergeCell ref="AO5:AR5"/>
    <mergeCell ref="C5:D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9.0"/>
    <col customWidth="1" min="3" max="3" width="57.43"/>
    <col customWidth="1" min="4" max="4" width="19.86"/>
    <col customWidth="1" min="5" max="5" width="28.43"/>
    <col customWidth="1" min="6" max="6" width="17.57"/>
  </cols>
  <sheetData>
    <row r="1">
      <c r="A1" s="1"/>
      <c r="B1" s="6"/>
      <c r="C1" s="6"/>
      <c r="D1" s="9">
        <v>750.0</v>
      </c>
      <c r="E1" s="9">
        <v>140.0</v>
      </c>
      <c r="F1" s="9">
        <v>84.0</v>
      </c>
    </row>
    <row r="2">
      <c r="A2" s="10"/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</row>
    <row r="3">
      <c r="A3" s="12">
        <v>43355.0</v>
      </c>
      <c r="B3" s="13">
        <v>0.625</v>
      </c>
      <c r="C3" s="9" t="s">
        <v>14</v>
      </c>
      <c r="D3" s="15"/>
      <c r="E3" s="17" t="s">
        <v>15</v>
      </c>
      <c r="F3" s="19" t="s">
        <v>16</v>
      </c>
    </row>
    <row r="4">
      <c r="B4" s="13">
        <v>0.6458333333333334</v>
      </c>
      <c r="C4" s="15"/>
      <c r="D4" s="21" t="s">
        <v>17</v>
      </c>
    </row>
    <row r="5">
      <c r="B5" s="13">
        <v>0.6666666666666666</v>
      </c>
      <c r="C5" s="6"/>
    </row>
    <row r="6">
      <c r="B6" s="13">
        <v>0.6875</v>
      </c>
      <c r="C6" s="6"/>
    </row>
    <row r="7">
      <c r="B7" s="13">
        <v>0.7083333333333334</v>
      </c>
      <c r="C7" s="6"/>
      <c r="E7" s="23" t="s">
        <v>19</v>
      </c>
    </row>
    <row r="8">
      <c r="B8" s="13">
        <v>0.7291666666666666</v>
      </c>
      <c r="C8" s="6"/>
      <c r="D8" s="6"/>
    </row>
    <row r="9">
      <c r="B9" s="13">
        <v>0.75</v>
      </c>
      <c r="C9" s="6"/>
      <c r="D9" s="6"/>
      <c r="F9" s="6"/>
    </row>
    <row r="10">
      <c r="B10" s="13">
        <v>0.7708333333333334</v>
      </c>
      <c r="C10" s="25" t="s">
        <v>20</v>
      </c>
      <c r="D10" s="6"/>
      <c r="E10" s="6"/>
      <c r="F10" s="6"/>
    </row>
    <row r="11">
      <c r="B11" s="13">
        <v>0.7916666666666666</v>
      </c>
      <c r="D11" s="15"/>
      <c r="E11" s="15"/>
      <c r="F11" s="15"/>
    </row>
    <row r="12">
      <c r="B12" s="13">
        <v>0.8125</v>
      </c>
      <c r="C12" s="15"/>
      <c r="D12" s="15"/>
      <c r="E12" s="15"/>
      <c r="F12" s="15"/>
    </row>
    <row r="13">
      <c r="B13" s="13">
        <v>0.8333333333333334</v>
      </c>
      <c r="C13" s="15"/>
      <c r="D13" s="27" t="s">
        <v>21</v>
      </c>
      <c r="E13" s="6"/>
      <c r="F13" s="6"/>
    </row>
    <row r="14">
      <c r="B14" s="13">
        <v>0.8541666666666666</v>
      </c>
      <c r="C14" s="29"/>
      <c r="E14" s="6"/>
      <c r="F14" s="6"/>
    </row>
    <row r="15">
      <c r="B15" s="13">
        <v>0.875</v>
      </c>
      <c r="C15" s="25" t="s">
        <v>23</v>
      </c>
      <c r="E15" s="6"/>
      <c r="F15" s="6"/>
    </row>
    <row r="16">
      <c r="B16" s="13">
        <v>0.8958333333333334</v>
      </c>
      <c r="D16" s="6"/>
      <c r="E16" s="6"/>
      <c r="F16" s="6"/>
    </row>
    <row r="17">
      <c r="B17" s="13">
        <v>0.9166666666666666</v>
      </c>
      <c r="C17" s="9" t="s">
        <v>24</v>
      </c>
      <c r="D17" s="6"/>
      <c r="E17" s="15"/>
      <c r="F17" s="15"/>
    </row>
    <row r="18">
      <c r="B18" s="13">
        <v>0.9166666666666666</v>
      </c>
      <c r="C18" s="9" t="s">
        <v>25</v>
      </c>
      <c r="D18" s="6"/>
      <c r="E18" s="15"/>
      <c r="F18" s="15"/>
    </row>
    <row r="19">
      <c r="B19" s="13">
        <v>0.0</v>
      </c>
      <c r="C19" s="9" t="s">
        <v>26</v>
      </c>
      <c r="D19" s="6"/>
      <c r="E19" s="15"/>
      <c r="F19" s="15"/>
    </row>
    <row r="20">
      <c r="A20" s="31"/>
      <c r="B20" s="36"/>
      <c r="C20" s="37"/>
      <c r="D20" s="39"/>
      <c r="E20" s="39"/>
      <c r="F20" s="39"/>
    </row>
    <row r="21">
      <c r="A21" s="40"/>
      <c r="B21" s="11" t="s">
        <v>9</v>
      </c>
      <c r="C21" s="11" t="s">
        <v>10</v>
      </c>
      <c r="D21" s="11" t="s">
        <v>11</v>
      </c>
      <c r="E21" s="11" t="s">
        <v>12</v>
      </c>
      <c r="F21" s="11" t="s">
        <v>13</v>
      </c>
    </row>
    <row r="22">
      <c r="A22" s="12">
        <v>43356.0</v>
      </c>
      <c r="B22" s="13">
        <v>0.625</v>
      </c>
      <c r="C22" s="9" t="s">
        <v>14</v>
      </c>
      <c r="D22" s="42"/>
      <c r="E22" s="44" t="s">
        <v>28</v>
      </c>
      <c r="F22" s="45" t="s">
        <v>16</v>
      </c>
    </row>
    <row r="23">
      <c r="B23" s="13">
        <v>0.6458333333333334</v>
      </c>
      <c r="C23" s="15"/>
      <c r="D23" s="42"/>
    </row>
    <row r="24" ht="18.0" customHeight="1">
      <c r="B24" s="13">
        <v>0.6666666666666666</v>
      </c>
      <c r="C24" s="15"/>
      <c r="D24" s="42"/>
    </row>
    <row r="25">
      <c r="B25" s="13">
        <v>0.6875</v>
      </c>
      <c r="C25" s="15"/>
      <c r="E25" s="23" t="s">
        <v>29</v>
      </c>
    </row>
    <row r="26">
      <c r="B26" s="13">
        <v>0.7083333333333334</v>
      </c>
      <c r="C26" s="15"/>
      <c r="D26" s="62" t="s">
        <v>30</v>
      </c>
    </row>
    <row r="27">
      <c r="B27" s="13">
        <v>0.7291666666666666</v>
      </c>
      <c r="C27" s="63"/>
    </row>
    <row r="28">
      <c r="B28" s="13">
        <v>0.75</v>
      </c>
    </row>
    <row r="29">
      <c r="B29" s="13">
        <v>0.7708333333333334</v>
      </c>
      <c r="C29" s="9" t="s">
        <v>42</v>
      </c>
      <c r="D29" s="15"/>
    </row>
    <row r="30">
      <c r="B30" s="13">
        <v>0.7916666666666666</v>
      </c>
      <c r="C30" s="29"/>
      <c r="D30" s="27" t="s">
        <v>43</v>
      </c>
    </row>
    <row r="31">
      <c r="B31" s="13">
        <v>0.8125</v>
      </c>
      <c r="C31" s="63"/>
      <c r="E31" s="6"/>
      <c r="F31" s="64"/>
    </row>
    <row r="32">
      <c r="B32" s="13">
        <v>0.8333333333333334</v>
      </c>
      <c r="C32" s="63"/>
      <c r="E32" s="6"/>
      <c r="F32" s="6"/>
    </row>
    <row r="33">
      <c r="B33" s="13">
        <v>0.8541666666666666</v>
      </c>
      <c r="C33" s="63"/>
      <c r="E33" s="15"/>
      <c r="F33" s="6"/>
    </row>
    <row r="34">
      <c r="B34" s="13">
        <v>0.875</v>
      </c>
      <c r="C34" s="9" t="s">
        <v>45</v>
      </c>
      <c r="D34" s="6"/>
      <c r="E34" s="15"/>
      <c r="F34" s="6"/>
    </row>
    <row r="35">
      <c r="B35" s="13">
        <v>0.8958333333333334</v>
      </c>
      <c r="C35" s="6"/>
      <c r="D35" s="6"/>
      <c r="E35" s="15"/>
      <c r="F35" s="6"/>
    </row>
    <row r="36">
      <c r="B36" s="13">
        <v>0.9166666666666666</v>
      </c>
      <c r="C36" s="9" t="s">
        <v>24</v>
      </c>
      <c r="D36" s="6"/>
      <c r="E36" s="15"/>
      <c r="F36" s="6"/>
    </row>
    <row r="37">
      <c r="B37" s="13">
        <v>0.9166666666666666</v>
      </c>
      <c r="C37" s="9" t="s">
        <v>25</v>
      </c>
      <c r="D37" s="6"/>
      <c r="E37" s="15"/>
      <c r="F37" s="6"/>
    </row>
    <row r="38">
      <c r="B38" s="13">
        <v>0.0</v>
      </c>
      <c r="C38" s="9" t="s">
        <v>26</v>
      </c>
      <c r="D38" s="6"/>
      <c r="E38" s="15"/>
      <c r="F38" s="6"/>
    </row>
    <row r="39">
      <c r="A39" s="66"/>
      <c r="B39" s="68"/>
      <c r="C39" s="69"/>
      <c r="D39" s="70"/>
      <c r="E39" s="70"/>
      <c r="F39" s="70"/>
    </row>
    <row r="40">
      <c r="A40" s="71"/>
      <c r="B40" s="9" t="s">
        <v>9</v>
      </c>
      <c r="C40" s="9" t="s">
        <v>10</v>
      </c>
      <c r="D40" s="9" t="s">
        <v>11</v>
      </c>
      <c r="E40" s="9" t="s">
        <v>12</v>
      </c>
      <c r="F40" s="9" t="s">
        <v>13</v>
      </c>
    </row>
    <row r="41">
      <c r="A41" s="12">
        <v>43357.0</v>
      </c>
      <c r="B41" s="13">
        <v>0.625</v>
      </c>
      <c r="C41" s="9" t="s">
        <v>14</v>
      </c>
      <c r="D41" s="72" t="s">
        <v>47</v>
      </c>
      <c r="E41" s="17" t="s">
        <v>48</v>
      </c>
      <c r="F41" s="45" t="s">
        <v>16</v>
      </c>
    </row>
    <row r="42">
      <c r="B42" s="13">
        <v>0.6458333333333334</v>
      </c>
      <c r="C42" s="15"/>
    </row>
    <row r="43">
      <c r="B43" s="13">
        <v>0.6666666666666666</v>
      </c>
      <c r="C43" s="9" t="s">
        <v>49</v>
      </c>
    </row>
    <row r="44">
      <c r="B44" s="13">
        <v>0.6875</v>
      </c>
      <c r="C44" s="63"/>
      <c r="E44" s="73" t="s">
        <v>50</v>
      </c>
    </row>
    <row r="45">
      <c r="B45" s="13">
        <v>0.7083333333333334</v>
      </c>
      <c r="C45" s="6"/>
      <c r="D45" s="25" t="s">
        <v>51</v>
      </c>
    </row>
    <row r="46">
      <c r="B46" s="13">
        <v>0.7291666666666666</v>
      </c>
      <c r="C46" s="6"/>
    </row>
    <row r="47">
      <c r="B47" s="13">
        <v>0.75</v>
      </c>
      <c r="C47" s="29"/>
      <c r="E47" s="74" t="s">
        <v>28</v>
      </c>
    </row>
    <row r="48">
      <c r="B48" s="13">
        <v>0.7708333333333334</v>
      </c>
      <c r="C48" s="9" t="s">
        <v>53</v>
      </c>
    </row>
    <row r="49">
      <c r="B49" s="13">
        <v>0.7916666666666666</v>
      </c>
      <c r="C49" s="6"/>
      <c r="D49" s="27" t="s">
        <v>54</v>
      </c>
    </row>
    <row r="50">
      <c r="B50" s="13">
        <v>0.8125</v>
      </c>
      <c r="C50" s="6"/>
      <c r="E50" s="15"/>
      <c r="F50" s="6"/>
    </row>
    <row r="51">
      <c r="B51" s="13">
        <v>0.8333333333333334</v>
      </c>
      <c r="C51" s="6"/>
      <c r="E51" s="15"/>
      <c r="F51" s="6"/>
    </row>
    <row r="52">
      <c r="B52" s="13">
        <v>0.8541666666666666</v>
      </c>
      <c r="C52" s="6"/>
      <c r="D52" s="6"/>
      <c r="E52" s="6"/>
      <c r="F52" s="6"/>
    </row>
    <row r="53">
      <c r="B53" s="13">
        <v>0.875</v>
      </c>
      <c r="C53" s="9" t="s">
        <v>45</v>
      </c>
      <c r="D53" s="6"/>
      <c r="E53" s="15"/>
      <c r="F53" s="6"/>
    </row>
    <row r="54">
      <c r="B54" s="13">
        <v>0.8958333333333334</v>
      </c>
      <c r="C54" s="15"/>
      <c r="D54" s="15"/>
      <c r="E54" s="6"/>
      <c r="F54" s="6"/>
    </row>
    <row r="55">
      <c r="B55" s="13">
        <v>0.9166666666666666</v>
      </c>
      <c r="C55" s="9" t="s">
        <v>24</v>
      </c>
      <c r="D55" s="6"/>
      <c r="E55" s="15"/>
      <c r="F55" s="6"/>
    </row>
    <row r="56">
      <c r="B56" s="13">
        <v>0.9166666666666666</v>
      </c>
      <c r="C56" s="9" t="s">
        <v>55</v>
      </c>
      <c r="D56" s="6"/>
      <c r="E56" s="6"/>
      <c r="F56" s="6"/>
    </row>
    <row r="57">
      <c r="B57" s="13">
        <v>0.0</v>
      </c>
      <c r="C57" s="9" t="s">
        <v>26</v>
      </c>
      <c r="D57" s="6"/>
      <c r="E57" s="6"/>
      <c r="F57" s="6"/>
    </row>
    <row r="58">
      <c r="A58" s="66"/>
      <c r="B58" s="68"/>
      <c r="C58" s="69"/>
      <c r="D58" s="70"/>
      <c r="E58" s="70"/>
      <c r="F58" s="70"/>
    </row>
    <row r="59">
      <c r="A59" s="75"/>
      <c r="B59" s="9" t="s">
        <v>9</v>
      </c>
      <c r="C59" s="9" t="s">
        <v>10</v>
      </c>
      <c r="D59" s="9" t="s">
        <v>11</v>
      </c>
      <c r="E59" s="9" t="s">
        <v>12</v>
      </c>
      <c r="F59" s="9" t="s">
        <v>13</v>
      </c>
    </row>
    <row r="60">
      <c r="A60" s="80">
        <v>43358.0</v>
      </c>
      <c r="B60" s="13">
        <v>0.625</v>
      </c>
      <c r="C60" s="9" t="s">
        <v>14</v>
      </c>
      <c r="D60" s="9" t="s">
        <v>57</v>
      </c>
      <c r="E60" s="17" t="s">
        <v>58</v>
      </c>
      <c r="F60" s="25" t="s">
        <v>59</v>
      </c>
    </row>
    <row r="61">
      <c r="B61" s="13">
        <v>0.6458333333333334</v>
      </c>
      <c r="C61" s="15"/>
    </row>
    <row r="62">
      <c r="B62" s="13">
        <v>0.6666666666666666</v>
      </c>
      <c r="C62" s="15"/>
    </row>
    <row r="63">
      <c r="B63" s="13">
        <v>0.6875</v>
      </c>
      <c r="C63" s="15"/>
      <c r="E63" s="25" t="s">
        <v>59</v>
      </c>
    </row>
    <row r="64">
      <c r="B64" s="13">
        <v>0.7083333333333334</v>
      </c>
      <c r="C64" s="9" t="s">
        <v>60</v>
      </c>
      <c r="F64" s="25" t="s">
        <v>61</v>
      </c>
    </row>
    <row r="65">
      <c r="B65" s="13">
        <v>0.7291666666666666</v>
      </c>
      <c r="C65" s="15"/>
      <c r="D65" s="15"/>
    </row>
    <row r="66">
      <c r="B66" s="13">
        <v>0.75</v>
      </c>
      <c r="C66" s="6"/>
      <c r="D66" s="6"/>
      <c r="E66" s="15"/>
    </row>
    <row r="67">
      <c r="B67" s="13">
        <v>0.7708333333333334</v>
      </c>
      <c r="C67" s="6"/>
      <c r="D67" s="15"/>
      <c r="E67" s="6"/>
    </row>
    <row r="68">
      <c r="B68" s="13">
        <v>0.7916666666666666</v>
      </c>
      <c r="C68" s="15"/>
      <c r="D68" s="6"/>
      <c r="E68" s="6"/>
    </row>
    <row r="69">
      <c r="B69" s="13">
        <v>0.8125</v>
      </c>
      <c r="C69" s="15"/>
      <c r="D69" s="6"/>
      <c r="E69" s="6"/>
      <c r="F69" s="6"/>
    </row>
    <row r="70">
      <c r="B70" s="13">
        <v>0.8333333333333334</v>
      </c>
      <c r="C70" s="63"/>
      <c r="D70" s="15"/>
      <c r="E70" s="6"/>
      <c r="F70" s="6"/>
    </row>
    <row r="71">
      <c r="B71" s="13">
        <v>0.8541666666666666</v>
      </c>
      <c r="C71" s="6"/>
      <c r="D71" s="6"/>
      <c r="E71" s="6"/>
      <c r="F71" s="6"/>
    </row>
    <row r="72">
      <c r="B72" s="13">
        <v>0.875</v>
      </c>
      <c r="C72" s="9" t="s">
        <v>62</v>
      </c>
      <c r="D72" s="6"/>
      <c r="E72" s="6"/>
      <c r="F72" s="6"/>
    </row>
    <row r="73">
      <c r="B73" s="13">
        <v>0.8958333333333334</v>
      </c>
      <c r="C73" s="6"/>
      <c r="D73" s="6"/>
      <c r="E73" s="6"/>
      <c r="F73" s="6"/>
    </row>
    <row r="74">
      <c r="B74" s="13">
        <v>0.9166666666666666</v>
      </c>
      <c r="C74" s="9" t="s">
        <v>24</v>
      </c>
      <c r="D74" s="6"/>
      <c r="E74" s="6"/>
      <c r="F74" s="6"/>
    </row>
    <row r="75">
      <c r="B75" s="13">
        <v>0.9166666666666666</v>
      </c>
      <c r="C75" s="9" t="s">
        <v>63</v>
      </c>
      <c r="D75" s="6"/>
      <c r="E75" s="6"/>
      <c r="F75" s="6"/>
    </row>
    <row r="76">
      <c r="B76" s="13">
        <v>0.0</v>
      </c>
      <c r="C76" s="9" t="s">
        <v>65</v>
      </c>
      <c r="D76" s="6"/>
      <c r="E76" s="6"/>
      <c r="F76" s="6"/>
    </row>
    <row r="77">
      <c r="A77" s="75"/>
      <c r="B77" s="6"/>
      <c r="C77" s="6"/>
      <c r="D77" s="6"/>
      <c r="E77" s="6"/>
      <c r="F77" s="6"/>
    </row>
    <row r="78">
      <c r="A78" s="75"/>
      <c r="B78" s="6"/>
      <c r="C78" s="6"/>
      <c r="D78" s="6"/>
      <c r="E78" s="6"/>
      <c r="F78" s="6"/>
    </row>
  </sheetData>
  <mergeCells count="28">
    <mergeCell ref="F3:F8"/>
    <mergeCell ref="F64:F68"/>
    <mergeCell ref="F60:F63"/>
    <mergeCell ref="E63:E65"/>
    <mergeCell ref="E25:E30"/>
    <mergeCell ref="E22:E24"/>
    <mergeCell ref="F22:F30"/>
    <mergeCell ref="F41:F49"/>
    <mergeCell ref="D13:D15"/>
    <mergeCell ref="D30:D33"/>
    <mergeCell ref="A41:A57"/>
    <mergeCell ref="A60:A76"/>
    <mergeCell ref="E3:E6"/>
    <mergeCell ref="E7:E9"/>
    <mergeCell ref="D4:D7"/>
    <mergeCell ref="C15:C16"/>
    <mergeCell ref="A3:A19"/>
    <mergeCell ref="C10:C11"/>
    <mergeCell ref="A22:A38"/>
    <mergeCell ref="E60:E62"/>
    <mergeCell ref="D60:D64"/>
    <mergeCell ref="D45:D48"/>
    <mergeCell ref="D41:D44"/>
    <mergeCell ref="D26:D28"/>
    <mergeCell ref="E41:E43"/>
    <mergeCell ref="E44:E46"/>
    <mergeCell ref="E47:E49"/>
    <mergeCell ref="D49:D51"/>
  </mergeCells>
  <conditionalFormatting sqref="A1:A78">
    <cfRule type="timePeriod" dxfId="0" priority="1" timePeriod="today"/>
  </conditionalFormatting>
  <conditionalFormatting sqref="D45:D48">
    <cfRule type="notContainsBlanks" dxfId="0" priority="2">
      <formula>LEN(TRIM(D45))&gt;0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6" max="6" width="16.14"/>
    <col customWidth="1" min="8" max="8" width="17.29"/>
  </cols>
  <sheetData>
    <row r="2">
      <c r="B2" s="2"/>
      <c r="C2" s="3" t="s">
        <v>0</v>
      </c>
      <c r="D2" s="3" t="s">
        <v>1</v>
      </c>
      <c r="E2" s="3" t="s">
        <v>2</v>
      </c>
      <c r="F2" s="5" t="s">
        <v>3</v>
      </c>
      <c r="H2" s="5" t="s">
        <v>4</v>
      </c>
      <c r="J2" s="5" t="s">
        <v>6</v>
      </c>
      <c r="N2" s="7" t="s">
        <v>7</v>
      </c>
      <c r="O2" s="8"/>
    </row>
    <row r="3">
      <c r="A3" s="2" t="s">
        <v>8</v>
      </c>
      <c r="B3" s="18"/>
      <c r="C3" s="18">
        <v>43000.0</v>
      </c>
      <c r="D3" s="2">
        <v>600.0</v>
      </c>
      <c r="E3" s="30">
        <f t="shared" ref="E3:E7" si="1">C3/D3</f>
        <v>71.66666667</v>
      </c>
      <c r="F3" s="32">
        <f t="shared" ref="F3:F7" si="2">(D3-J3)</f>
        <v>540</v>
      </c>
      <c r="G3" s="34">
        <v>200.0</v>
      </c>
      <c r="H3" s="32">
        <f t="shared" ref="H3:H7" si="3">(D3-J3)</f>
        <v>540</v>
      </c>
      <c r="I3" s="34">
        <f t="shared" ref="I3:I7" si="4">G3-(G3/100*10)</f>
        <v>180</v>
      </c>
      <c r="J3" s="32">
        <f t="shared" ref="J3:J7" si="5">D3/100*10</f>
        <v>60</v>
      </c>
      <c r="K3" s="38">
        <f t="shared" ref="K3:K7" si="6">G3/2</f>
        <v>100</v>
      </c>
      <c r="L3" s="30">
        <f t="shared" ref="L3:L7" si="7">K3*J3</f>
        <v>6000</v>
      </c>
      <c r="N3" s="46">
        <v>1.0</v>
      </c>
      <c r="O3" s="48">
        <v>0.0</v>
      </c>
    </row>
    <row r="4">
      <c r="A4" s="2" t="s">
        <v>32</v>
      </c>
      <c r="B4" s="18"/>
      <c r="C4" s="18">
        <v>10500.0</v>
      </c>
      <c r="D4" s="2">
        <v>600.0</v>
      </c>
      <c r="E4" s="30">
        <f t="shared" si="1"/>
        <v>17.5</v>
      </c>
      <c r="F4" s="32">
        <f t="shared" si="2"/>
        <v>540</v>
      </c>
      <c r="G4" s="34">
        <v>120.0</v>
      </c>
      <c r="H4" s="32">
        <f t="shared" si="3"/>
        <v>540</v>
      </c>
      <c r="I4" s="34">
        <f t="shared" si="4"/>
        <v>108</v>
      </c>
      <c r="J4" s="32">
        <f t="shared" si="5"/>
        <v>60</v>
      </c>
      <c r="K4" s="38">
        <f t="shared" si="6"/>
        <v>60</v>
      </c>
      <c r="L4" s="30">
        <f t="shared" si="7"/>
        <v>3600</v>
      </c>
      <c r="N4" s="46">
        <v>2.0</v>
      </c>
      <c r="O4" s="48">
        <v>0.05</v>
      </c>
    </row>
    <row r="5">
      <c r="A5" s="2" t="s">
        <v>33</v>
      </c>
      <c r="B5" s="18"/>
      <c r="C5" s="18">
        <v>37000.0</v>
      </c>
      <c r="D5" s="2">
        <v>600.0</v>
      </c>
      <c r="E5" s="30">
        <f t="shared" si="1"/>
        <v>61.66666667</v>
      </c>
      <c r="F5" s="32">
        <f t="shared" si="2"/>
        <v>540</v>
      </c>
      <c r="G5" s="34">
        <v>180.0</v>
      </c>
      <c r="H5" s="32">
        <f t="shared" si="3"/>
        <v>540</v>
      </c>
      <c r="I5" s="34">
        <f t="shared" si="4"/>
        <v>162</v>
      </c>
      <c r="J5" s="32">
        <f t="shared" si="5"/>
        <v>60</v>
      </c>
      <c r="K5" s="38">
        <f t="shared" si="6"/>
        <v>90</v>
      </c>
      <c r="L5" s="30">
        <f t="shared" si="7"/>
        <v>5400</v>
      </c>
      <c r="N5" s="46">
        <v>3.0</v>
      </c>
      <c r="O5" s="48">
        <v>0.1</v>
      </c>
    </row>
    <row r="6">
      <c r="A6" s="51" t="s">
        <v>35</v>
      </c>
      <c r="B6" s="18"/>
      <c r="C6" s="18">
        <v>13000.0</v>
      </c>
      <c r="D6" s="2">
        <v>600.0</v>
      </c>
      <c r="E6" s="30">
        <f t="shared" si="1"/>
        <v>21.66666667</v>
      </c>
      <c r="F6" s="32">
        <f t="shared" si="2"/>
        <v>540</v>
      </c>
      <c r="G6" s="34">
        <v>120.0</v>
      </c>
      <c r="H6" s="32">
        <f t="shared" si="3"/>
        <v>540</v>
      </c>
      <c r="I6" s="34">
        <f t="shared" si="4"/>
        <v>108</v>
      </c>
      <c r="J6" s="32">
        <f t="shared" si="5"/>
        <v>60</v>
      </c>
      <c r="K6" s="38">
        <f t="shared" si="6"/>
        <v>60</v>
      </c>
      <c r="L6" s="30">
        <f t="shared" si="7"/>
        <v>3600</v>
      </c>
      <c r="N6" s="46">
        <v>4.0</v>
      </c>
      <c r="O6" s="48">
        <v>0.15</v>
      </c>
    </row>
    <row r="7">
      <c r="A7" s="2" t="s">
        <v>37</v>
      </c>
      <c r="B7" s="18"/>
      <c r="C7" s="18">
        <v>27000.0</v>
      </c>
      <c r="D7" s="2">
        <v>600.0</v>
      </c>
      <c r="E7" s="30">
        <f t="shared" si="1"/>
        <v>45</v>
      </c>
      <c r="F7" s="32">
        <f t="shared" si="2"/>
        <v>540</v>
      </c>
      <c r="G7" s="34">
        <v>130.0</v>
      </c>
      <c r="H7" s="32">
        <f t="shared" si="3"/>
        <v>540</v>
      </c>
      <c r="I7" s="34">
        <f t="shared" si="4"/>
        <v>117</v>
      </c>
      <c r="J7" s="32">
        <f t="shared" si="5"/>
        <v>60</v>
      </c>
      <c r="K7" s="38">
        <f t="shared" si="6"/>
        <v>65</v>
      </c>
      <c r="L7" s="30">
        <f t="shared" si="7"/>
        <v>3900</v>
      </c>
      <c r="N7" s="46">
        <v>5.0</v>
      </c>
      <c r="O7" s="48">
        <v>0.2</v>
      </c>
    </row>
    <row r="8">
      <c r="B8" s="30"/>
      <c r="C8" s="56">
        <f>C7+C6+C5+C4+C3</f>
        <v>130500</v>
      </c>
      <c r="D8" s="57"/>
      <c r="E8" s="57"/>
      <c r="G8" s="56">
        <f>G7+G6+G5+G4+G3</f>
        <v>750</v>
      </c>
      <c r="I8" s="56">
        <f>I7+I6+I5+I4+I3</f>
        <v>675</v>
      </c>
      <c r="J8" s="57"/>
      <c r="K8" s="56">
        <f t="shared" ref="K8:L8" si="8">SUM(K3:K7)</f>
        <v>375</v>
      </c>
      <c r="L8" s="56">
        <f t="shared" si="8"/>
        <v>22500</v>
      </c>
      <c r="M8" s="57"/>
      <c r="N8" s="57"/>
    </row>
    <row r="9">
      <c r="B9" s="30"/>
      <c r="C9" s="30"/>
    </row>
    <row r="10">
      <c r="A10" s="11" t="s">
        <v>39</v>
      </c>
      <c r="H10" s="57"/>
      <c r="I10" s="58" t="s">
        <v>40</v>
      </c>
    </row>
    <row r="11">
      <c r="A11" s="59"/>
      <c r="B11" s="60"/>
      <c r="C11" s="60" t="str">
        <f>A3</f>
        <v>Willian Wack</v>
      </c>
      <c r="D11" s="60" t="str">
        <f>A4</f>
        <v>Artur igreja</v>
      </c>
      <c r="E11" s="59" t="str">
        <f>A5</f>
        <v>Clovis de barros</v>
      </c>
      <c r="F11" t="str">
        <f>A6</f>
        <v>Fred Rocha</v>
      </c>
      <c r="G11" t="str">
        <f>A7</f>
        <v>Daniel dias</v>
      </c>
      <c r="I11" s="59"/>
      <c r="J11" s="60" t="str">
        <f>A3</f>
        <v>Willian Wack</v>
      </c>
      <c r="K11" s="60" t="str">
        <f>A4</f>
        <v>Artur igreja</v>
      </c>
      <c r="L11" s="59" t="str">
        <f>A5</f>
        <v>Clovis de barros</v>
      </c>
      <c r="M11" t="str">
        <f>A6</f>
        <v>Fred Rocha</v>
      </c>
      <c r="N11" t="str">
        <f>A7</f>
        <v>Daniel dias</v>
      </c>
    </row>
    <row r="12">
      <c r="A12" s="59" t="s">
        <v>41</v>
      </c>
      <c r="B12" s="61"/>
      <c r="C12" s="61">
        <f>G3</f>
        <v>200</v>
      </c>
      <c r="D12" s="61">
        <f>G4</f>
        <v>120</v>
      </c>
      <c r="E12" s="61">
        <f>G5</f>
        <v>180</v>
      </c>
      <c r="F12" s="61">
        <f>G6</f>
        <v>120</v>
      </c>
      <c r="G12" s="61">
        <f>G7</f>
        <v>130</v>
      </c>
      <c r="I12" s="59" t="s">
        <v>41</v>
      </c>
      <c r="J12" s="61">
        <f>I4</f>
        <v>108</v>
      </c>
      <c r="K12" s="61">
        <f>I5</f>
        <v>162</v>
      </c>
      <c r="L12" s="61">
        <f>I6</f>
        <v>108</v>
      </c>
      <c r="M12" s="61">
        <f>I7</f>
        <v>117</v>
      </c>
      <c r="N12" s="61">
        <f>I8</f>
        <v>675</v>
      </c>
    </row>
    <row r="13">
      <c r="A13" s="60" t="s">
        <v>44</v>
      </c>
      <c r="B13" s="65"/>
      <c r="C13" s="65">
        <v>0.0</v>
      </c>
      <c r="D13" s="67">
        <v>0.05</v>
      </c>
      <c r="E13" s="67">
        <v>0.1</v>
      </c>
      <c r="F13" s="67">
        <v>0.15</v>
      </c>
      <c r="G13" s="67">
        <v>0.2</v>
      </c>
      <c r="I13" s="60" t="s">
        <v>44</v>
      </c>
      <c r="J13" s="65">
        <v>0.0</v>
      </c>
      <c r="K13" s="67">
        <v>0.05</v>
      </c>
      <c r="L13" s="67">
        <v>0.1</v>
      </c>
      <c r="M13" s="67">
        <v>0.15</v>
      </c>
      <c r="N13" s="67">
        <v>0.2</v>
      </c>
    </row>
    <row r="14">
      <c r="A14" s="60" t="s">
        <v>46</v>
      </c>
      <c r="B14" s="61"/>
      <c r="C14" s="61">
        <f t="shared" ref="C14:G14" si="9">C12*C13</f>
        <v>0</v>
      </c>
      <c r="D14" s="61">
        <f t="shared" si="9"/>
        <v>6</v>
      </c>
      <c r="E14" s="61">
        <f t="shared" si="9"/>
        <v>18</v>
      </c>
      <c r="F14" s="61">
        <f t="shared" si="9"/>
        <v>18</v>
      </c>
      <c r="G14" s="61">
        <f t="shared" si="9"/>
        <v>26</v>
      </c>
      <c r="I14" s="60" t="s">
        <v>46</v>
      </c>
      <c r="J14" s="61">
        <f t="shared" ref="J14:N14" si="10">J12*J13</f>
        <v>0</v>
      </c>
      <c r="K14" s="61">
        <f t="shared" si="10"/>
        <v>8.1</v>
      </c>
      <c r="L14" s="61">
        <f t="shared" si="10"/>
        <v>10.8</v>
      </c>
      <c r="M14" s="61">
        <f t="shared" si="10"/>
        <v>17.55</v>
      </c>
      <c r="N14" s="61">
        <f t="shared" si="10"/>
        <v>135</v>
      </c>
    </row>
    <row r="15">
      <c r="A15" s="60" t="s">
        <v>52</v>
      </c>
      <c r="B15" s="61"/>
      <c r="C15" s="61">
        <f t="shared" ref="C15:G15" si="11">C12-C14</f>
        <v>200</v>
      </c>
      <c r="D15" s="61">
        <f t="shared" si="11"/>
        <v>114</v>
      </c>
      <c r="E15" s="61">
        <f t="shared" si="11"/>
        <v>162</v>
      </c>
      <c r="F15" s="61">
        <f t="shared" si="11"/>
        <v>102</v>
      </c>
      <c r="G15" s="61">
        <f t="shared" si="11"/>
        <v>104</v>
      </c>
      <c r="I15" s="60" t="s">
        <v>52</v>
      </c>
      <c r="J15" s="61">
        <f t="shared" ref="J15:N15" si="12">J12-J14</f>
        <v>108</v>
      </c>
      <c r="K15" s="61">
        <f t="shared" si="12"/>
        <v>153.9</v>
      </c>
      <c r="L15" s="61">
        <f t="shared" si="12"/>
        <v>97.2</v>
      </c>
      <c r="M15" s="61">
        <f t="shared" si="12"/>
        <v>99.45</v>
      </c>
      <c r="N15" s="61">
        <f t="shared" si="12"/>
        <v>540</v>
      </c>
    </row>
    <row r="16">
      <c r="A16" s="60" t="s">
        <v>56</v>
      </c>
      <c r="B16" s="76">
        <v>0.0648</v>
      </c>
      <c r="C16" s="78">
        <f>C12*B16</f>
        <v>12.96</v>
      </c>
      <c r="D16" s="78">
        <f>D12*B16</f>
        <v>7.776</v>
      </c>
      <c r="E16" s="78">
        <f>E12*B16</f>
        <v>11.664</v>
      </c>
      <c r="F16" s="78">
        <f>F12*B16</f>
        <v>7.776</v>
      </c>
      <c r="G16" s="78">
        <f>G12*B16</f>
        <v>8.424</v>
      </c>
    </row>
    <row r="17">
      <c r="B17" s="82"/>
      <c r="C17" s="30">
        <f t="shared" ref="C17:G17" si="13">C12-C16</f>
        <v>187.04</v>
      </c>
      <c r="D17" s="30">
        <f t="shared" si="13"/>
        <v>112.224</v>
      </c>
      <c r="E17" s="30">
        <f t="shared" si="13"/>
        <v>168.336</v>
      </c>
      <c r="F17" s="30">
        <f t="shared" si="13"/>
        <v>112.224</v>
      </c>
      <c r="G17" s="30">
        <f t="shared" si="13"/>
        <v>121.576</v>
      </c>
    </row>
    <row r="18">
      <c r="A18" s="60"/>
      <c r="B18" s="60" t="s">
        <v>64</v>
      </c>
      <c r="C18" s="60">
        <v>600.0</v>
      </c>
      <c r="D18" s="60">
        <v>600.0</v>
      </c>
      <c r="E18" s="60">
        <v>600.0</v>
      </c>
      <c r="F18" s="2">
        <v>600.0</v>
      </c>
      <c r="G18" s="2">
        <v>600.0</v>
      </c>
    </row>
    <row r="19">
      <c r="A19" s="60"/>
      <c r="B19" s="84"/>
      <c r="C19" s="61">
        <f t="shared" ref="C19:G19" si="14">C17*C18</f>
        <v>112224</v>
      </c>
      <c r="D19" s="61">
        <f t="shared" si="14"/>
        <v>67334.4</v>
      </c>
      <c r="E19" s="61">
        <f t="shared" si="14"/>
        <v>101001.6</v>
      </c>
      <c r="F19" s="61">
        <f t="shared" si="14"/>
        <v>67334.4</v>
      </c>
      <c r="G19" s="61">
        <f t="shared" si="14"/>
        <v>72945.6</v>
      </c>
      <c r="I19" s="2" t="s">
        <v>66</v>
      </c>
    </row>
    <row r="20">
      <c r="A20" s="60"/>
      <c r="B20" s="85" t="s">
        <v>67</v>
      </c>
      <c r="C20" s="61">
        <f>C3</f>
        <v>43000</v>
      </c>
      <c r="D20" s="61">
        <f>C4</f>
        <v>10500</v>
      </c>
      <c r="E20" s="61">
        <f>C5</f>
        <v>37000</v>
      </c>
      <c r="F20" s="61">
        <f>C6</f>
        <v>13000</v>
      </c>
      <c r="G20" s="61">
        <f>C7</f>
        <v>27000</v>
      </c>
      <c r="I20" s="18">
        <v>5.0</v>
      </c>
      <c r="J20" s="18">
        <v>2.5</v>
      </c>
      <c r="K20" s="2" t="s">
        <v>68</v>
      </c>
    </row>
    <row r="21">
      <c r="A21" s="60"/>
      <c r="B21" s="85" t="s">
        <v>69</v>
      </c>
      <c r="C21" s="61">
        <f t="shared" ref="C21:G21" si="15">C19-C20</f>
        <v>69224</v>
      </c>
      <c r="D21" s="61">
        <f t="shared" si="15"/>
        <v>56834.4</v>
      </c>
      <c r="E21" s="61">
        <f t="shared" si="15"/>
        <v>64001.6</v>
      </c>
      <c r="F21" s="61">
        <f t="shared" si="15"/>
        <v>54334.4</v>
      </c>
      <c r="G21" s="61">
        <f t="shared" si="15"/>
        <v>45945.6</v>
      </c>
      <c r="K21" s="2" t="s">
        <v>22</v>
      </c>
    </row>
    <row r="22">
      <c r="A22" s="59"/>
      <c r="B22" s="61"/>
      <c r="C22" s="61"/>
      <c r="D22" s="61"/>
      <c r="E22" s="61"/>
      <c r="F22" s="61"/>
      <c r="G22" s="61"/>
    </row>
    <row r="23">
      <c r="A23" s="59"/>
      <c r="B23" s="61"/>
      <c r="C23" s="61"/>
      <c r="D23" s="61"/>
      <c r="E23" s="61"/>
      <c r="F23" s="61"/>
      <c r="G23" s="61"/>
    </row>
    <row r="24">
      <c r="A24" s="59"/>
      <c r="B24" s="59"/>
      <c r="C24" s="59"/>
      <c r="D24" s="59"/>
      <c r="E24" s="59"/>
    </row>
  </sheetData>
  <mergeCells count="5">
    <mergeCell ref="I10:N10"/>
    <mergeCell ref="A10:G10"/>
    <mergeCell ref="F2:G2"/>
    <mergeCell ref="J2:K2"/>
    <mergeCell ref="H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2.57"/>
    <col customWidth="1" min="2" max="2" width="23.14"/>
    <col customWidth="1" min="3" max="3" width="13.29"/>
    <col customWidth="1" min="4" max="4" width="18.0"/>
    <col customWidth="1" min="5" max="5" width="10.86"/>
    <col customWidth="1" min="6" max="6" width="18.0"/>
    <col customWidth="1" min="7" max="7" width="14.29"/>
    <col customWidth="1" min="8" max="8" width="14.57"/>
    <col customWidth="1" min="9" max="11" width="16.71"/>
    <col customWidth="1" min="12" max="13" width="13.29"/>
    <col customWidth="1" min="14" max="14" width="17.71"/>
    <col customWidth="1" min="15" max="16" width="14.29"/>
    <col customWidth="1" min="17" max="17" width="11.57"/>
  </cols>
  <sheetData>
    <row r="1">
      <c r="A1" s="101"/>
      <c r="B1" s="103" t="s">
        <v>77</v>
      </c>
      <c r="R1" s="101"/>
      <c r="S1" s="101"/>
      <c r="T1" s="101"/>
      <c r="U1" s="101"/>
      <c r="V1" s="101"/>
      <c r="W1" s="101"/>
    </row>
    <row r="2">
      <c r="A2" s="2" t="s">
        <v>80</v>
      </c>
      <c r="B2" s="104" t="s">
        <v>81</v>
      </c>
      <c r="C2" s="105" t="s">
        <v>84</v>
      </c>
      <c r="D2" s="105" t="s">
        <v>85</v>
      </c>
      <c r="E2" s="7" t="s">
        <v>87</v>
      </c>
      <c r="F2" s="106" t="s">
        <v>89</v>
      </c>
      <c r="G2" s="106" t="s">
        <v>90</v>
      </c>
      <c r="H2" s="106" t="s">
        <v>91</v>
      </c>
      <c r="I2" s="107" t="s">
        <v>92</v>
      </c>
      <c r="J2" s="107" t="s">
        <v>95</v>
      </c>
      <c r="K2" s="108" t="s">
        <v>96</v>
      </c>
      <c r="L2" s="108" t="s">
        <v>97</v>
      </c>
      <c r="M2" s="108" t="s">
        <v>98</v>
      </c>
      <c r="N2" s="109" t="s">
        <v>99</v>
      </c>
      <c r="O2" s="109" t="s">
        <v>100</v>
      </c>
      <c r="P2" s="109" t="s">
        <v>101</v>
      </c>
      <c r="Q2" s="110" t="s">
        <v>102</v>
      </c>
      <c r="R2" s="111" t="s">
        <v>103</v>
      </c>
      <c r="S2" s="111" t="s">
        <v>104</v>
      </c>
      <c r="T2" s="111" t="s">
        <v>105</v>
      </c>
      <c r="U2" s="112" t="s">
        <v>106</v>
      </c>
    </row>
    <row r="3">
      <c r="A3" s="2" t="s">
        <v>8</v>
      </c>
      <c r="B3" s="113">
        <v>200.0</v>
      </c>
      <c r="C3" s="114">
        <v>0.3</v>
      </c>
      <c r="D3" s="114">
        <v>0.1</v>
      </c>
      <c r="E3" s="115">
        <f t="shared" ref="E3:E12" si="2">B3-(B3*D3)</f>
        <v>180</v>
      </c>
      <c r="F3" s="38">
        <f t="shared" ref="F3:F12" si="3">B3-(B3*C3)</f>
        <v>140</v>
      </c>
      <c r="G3" s="38">
        <f t="shared" ref="G3:G12" si="4">E3-(E3*C3)</f>
        <v>126</v>
      </c>
      <c r="H3" s="38">
        <f t="shared" ref="H3:H7" si="5">B3/2</f>
        <v>100</v>
      </c>
      <c r="I3" s="116">
        <v>300.0</v>
      </c>
      <c r="J3" s="116">
        <v>30.0</v>
      </c>
      <c r="K3" s="117">
        <v>0.0</v>
      </c>
      <c r="L3" s="117">
        <v>300.0</v>
      </c>
      <c r="M3" s="118">
        <v>30.0</v>
      </c>
      <c r="N3" s="121">
        <f t="shared" ref="N3:P3" si="1">F3*K3</f>
        <v>0</v>
      </c>
      <c r="O3" s="121">
        <f t="shared" si="1"/>
        <v>37800</v>
      </c>
      <c r="P3" s="121">
        <f t="shared" si="1"/>
        <v>3000</v>
      </c>
      <c r="Q3" s="124">
        <f t="shared" ref="Q3:Q13" si="7">N3+O3+P3</f>
        <v>40800</v>
      </c>
      <c r="R3" s="126">
        <f t="shared" ref="R3:R7" si="8">(K3+L3+M3)*0.4</f>
        <v>132</v>
      </c>
      <c r="S3" s="126">
        <f t="shared" ref="S3:S12" si="9">Q3*3.99%</f>
        <v>1627.92</v>
      </c>
      <c r="T3" s="126">
        <f t="shared" ref="T3:T12" si="10">R3+S3</f>
        <v>1759.92</v>
      </c>
      <c r="U3" s="130">
        <f t="shared" ref="U3:U12" si="11">Q3-T3</f>
        <v>39040.08</v>
      </c>
    </row>
    <row r="4">
      <c r="A4" s="2" t="s">
        <v>32</v>
      </c>
      <c r="B4" s="113">
        <v>120.0</v>
      </c>
      <c r="C4" s="114">
        <v>0.3</v>
      </c>
      <c r="D4" s="114">
        <v>0.1</v>
      </c>
      <c r="E4" s="115">
        <f t="shared" si="2"/>
        <v>108</v>
      </c>
      <c r="F4" s="38">
        <f t="shared" si="3"/>
        <v>84</v>
      </c>
      <c r="G4" s="38">
        <f t="shared" si="4"/>
        <v>75.6</v>
      </c>
      <c r="H4" s="38">
        <f t="shared" si="5"/>
        <v>60</v>
      </c>
      <c r="I4" s="116">
        <v>300.0</v>
      </c>
      <c r="J4" s="116">
        <v>30.0</v>
      </c>
      <c r="K4" s="117">
        <v>0.0</v>
      </c>
      <c r="L4" s="117">
        <v>300.0</v>
      </c>
      <c r="M4" s="118">
        <v>30.0</v>
      </c>
      <c r="N4" s="121">
        <f t="shared" ref="N4:P4" si="6">F4*K4</f>
        <v>0</v>
      </c>
      <c r="O4" s="121">
        <f t="shared" si="6"/>
        <v>22680</v>
      </c>
      <c r="P4" s="121">
        <f t="shared" si="6"/>
        <v>1800</v>
      </c>
      <c r="Q4" s="124">
        <f t="shared" si="7"/>
        <v>24480</v>
      </c>
      <c r="R4" s="126">
        <f t="shared" si="8"/>
        <v>132</v>
      </c>
      <c r="S4" s="126">
        <f t="shared" si="9"/>
        <v>976.752</v>
      </c>
      <c r="T4" s="126">
        <f t="shared" si="10"/>
        <v>1108.752</v>
      </c>
      <c r="U4" s="130">
        <f t="shared" si="11"/>
        <v>23371.248</v>
      </c>
    </row>
    <row r="5">
      <c r="A5" s="2" t="s">
        <v>33</v>
      </c>
      <c r="B5" s="113">
        <v>180.0</v>
      </c>
      <c r="C5" s="114">
        <v>0.3</v>
      </c>
      <c r="D5" s="114">
        <v>0.1</v>
      </c>
      <c r="E5" s="115">
        <f t="shared" si="2"/>
        <v>162</v>
      </c>
      <c r="F5" s="38">
        <f t="shared" si="3"/>
        <v>126</v>
      </c>
      <c r="G5" s="38">
        <f t="shared" si="4"/>
        <v>113.4</v>
      </c>
      <c r="H5" s="38">
        <f t="shared" si="5"/>
        <v>90</v>
      </c>
      <c r="I5" s="116">
        <v>300.0</v>
      </c>
      <c r="J5" s="116">
        <v>30.0</v>
      </c>
      <c r="K5" s="117">
        <v>0.0</v>
      </c>
      <c r="L5" s="117">
        <v>300.0</v>
      </c>
      <c r="M5" s="118">
        <v>30.0</v>
      </c>
      <c r="N5" s="121">
        <f t="shared" ref="N5:P5" si="12">F5*K5</f>
        <v>0</v>
      </c>
      <c r="O5" s="121">
        <f t="shared" si="12"/>
        <v>34020</v>
      </c>
      <c r="P5" s="121">
        <f t="shared" si="12"/>
        <v>2700</v>
      </c>
      <c r="Q5" s="124">
        <f t="shared" si="7"/>
        <v>36720</v>
      </c>
      <c r="R5" s="126">
        <f t="shared" si="8"/>
        <v>132</v>
      </c>
      <c r="S5" s="126">
        <f t="shared" si="9"/>
        <v>1465.128</v>
      </c>
      <c r="T5" s="126">
        <f t="shared" si="10"/>
        <v>1597.128</v>
      </c>
      <c r="U5" s="130">
        <f t="shared" si="11"/>
        <v>35122.872</v>
      </c>
    </row>
    <row r="6">
      <c r="A6" s="2" t="s">
        <v>37</v>
      </c>
      <c r="B6" s="113">
        <v>130.0</v>
      </c>
      <c r="C6" s="114">
        <v>0.3</v>
      </c>
      <c r="D6" s="114">
        <v>0.1</v>
      </c>
      <c r="E6" s="115">
        <f t="shared" si="2"/>
        <v>117</v>
      </c>
      <c r="F6" s="38">
        <f t="shared" si="3"/>
        <v>91</v>
      </c>
      <c r="G6" s="38">
        <f t="shared" si="4"/>
        <v>81.9</v>
      </c>
      <c r="H6" s="38">
        <f t="shared" si="5"/>
        <v>65</v>
      </c>
      <c r="I6" s="116">
        <v>300.0</v>
      </c>
      <c r="J6" s="116">
        <v>30.0</v>
      </c>
      <c r="K6" s="117">
        <v>0.0</v>
      </c>
      <c r="L6" s="117">
        <v>300.0</v>
      </c>
      <c r="M6" s="118">
        <v>30.0</v>
      </c>
      <c r="N6" s="121">
        <f t="shared" ref="N6:P6" si="13">F6*K6</f>
        <v>0</v>
      </c>
      <c r="O6" s="121">
        <f t="shared" si="13"/>
        <v>24570</v>
      </c>
      <c r="P6" s="121">
        <f t="shared" si="13"/>
        <v>1950</v>
      </c>
      <c r="Q6" s="124">
        <f t="shared" si="7"/>
        <v>26520</v>
      </c>
      <c r="R6" s="126">
        <f t="shared" si="8"/>
        <v>132</v>
      </c>
      <c r="S6" s="126">
        <f t="shared" si="9"/>
        <v>1058.148</v>
      </c>
      <c r="T6" s="126">
        <f t="shared" si="10"/>
        <v>1190.148</v>
      </c>
      <c r="U6" s="130">
        <f t="shared" si="11"/>
        <v>25329.852</v>
      </c>
    </row>
    <row r="7">
      <c r="A7" s="2" t="s">
        <v>258</v>
      </c>
      <c r="B7" s="113">
        <v>120.0</v>
      </c>
      <c r="C7" s="114">
        <v>0.3</v>
      </c>
      <c r="D7" s="114">
        <v>0.1</v>
      </c>
      <c r="E7" s="115">
        <f t="shared" si="2"/>
        <v>108</v>
      </c>
      <c r="F7" s="38">
        <f t="shared" si="3"/>
        <v>84</v>
      </c>
      <c r="G7" s="38">
        <f t="shared" si="4"/>
        <v>75.6</v>
      </c>
      <c r="H7" s="38">
        <f t="shared" si="5"/>
        <v>60</v>
      </c>
      <c r="I7" s="116">
        <v>300.0</v>
      </c>
      <c r="J7" s="116">
        <v>30.0</v>
      </c>
      <c r="K7" s="117">
        <v>0.0</v>
      </c>
      <c r="L7" s="117">
        <v>300.0</v>
      </c>
      <c r="M7" s="118">
        <v>30.0</v>
      </c>
      <c r="N7" s="121">
        <f t="shared" ref="N7:P7" si="14">F7*K7</f>
        <v>0</v>
      </c>
      <c r="O7" s="121">
        <f t="shared" si="14"/>
        <v>22680</v>
      </c>
      <c r="P7" s="121">
        <f t="shared" si="14"/>
        <v>1800</v>
      </c>
      <c r="Q7" s="124">
        <f t="shared" si="7"/>
        <v>24480</v>
      </c>
      <c r="R7" s="126">
        <f t="shared" si="8"/>
        <v>132</v>
      </c>
      <c r="S7" s="126">
        <f t="shared" si="9"/>
        <v>976.752</v>
      </c>
      <c r="T7" s="126">
        <f t="shared" si="10"/>
        <v>1108.752</v>
      </c>
      <c r="U7" s="130">
        <f t="shared" si="11"/>
        <v>23371.248</v>
      </c>
    </row>
    <row r="8">
      <c r="A8" s="2" t="s">
        <v>259</v>
      </c>
      <c r="B8" s="113">
        <f>4*300</f>
        <v>1200</v>
      </c>
      <c r="C8" s="114">
        <v>0.2</v>
      </c>
      <c r="D8" s="114">
        <v>0.1</v>
      </c>
      <c r="E8" s="115">
        <f t="shared" si="2"/>
        <v>1080</v>
      </c>
      <c r="F8" s="38">
        <f t="shared" si="3"/>
        <v>960</v>
      </c>
      <c r="G8" s="38">
        <f t="shared" si="4"/>
        <v>864</v>
      </c>
      <c r="H8" s="34" t="s">
        <v>260</v>
      </c>
      <c r="I8" s="116">
        <v>24.0</v>
      </c>
      <c r="J8" s="116" t="s">
        <v>260</v>
      </c>
      <c r="K8" s="117">
        <v>0.0</v>
      </c>
      <c r="L8" s="117">
        <v>24.0</v>
      </c>
      <c r="M8" s="136" t="s">
        <v>260</v>
      </c>
      <c r="N8" s="121">
        <f t="shared" ref="N8:O8" si="15">F8*K8</f>
        <v>0</v>
      </c>
      <c r="O8" s="121">
        <f t="shared" si="15"/>
        <v>20736</v>
      </c>
      <c r="P8" s="138">
        <v>0.0</v>
      </c>
      <c r="Q8" s="124">
        <f t="shared" si="7"/>
        <v>20736</v>
      </c>
      <c r="R8" s="126">
        <f t="shared" ref="R8:R11" si="17">(K8+L8)*0.4</f>
        <v>9.6</v>
      </c>
      <c r="S8" s="126">
        <f t="shared" si="9"/>
        <v>827.3664</v>
      </c>
      <c r="T8" s="126">
        <f t="shared" si="10"/>
        <v>836.9664</v>
      </c>
      <c r="U8" s="130">
        <f t="shared" si="11"/>
        <v>19899.0336</v>
      </c>
    </row>
    <row r="9">
      <c r="A9" s="2" t="s">
        <v>262</v>
      </c>
      <c r="B9" s="113">
        <f t="shared" ref="B9:B10" si="18">4*250</f>
        <v>1000</v>
      </c>
      <c r="C9" s="114">
        <v>0.2</v>
      </c>
      <c r="D9" s="114">
        <v>0.1</v>
      </c>
      <c r="E9" s="115">
        <f t="shared" si="2"/>
        <v>900</v>
      </c>
      <c r="F9" s="38">
        <f t="shared" si="3"/>
        <v>800</v>
      </c>
      <c r="G9" s="38">
        <f t="shared" si="4"/>
        <v>720</v>
      </c>
      <c r="H9" s="34" t="s">
        <v>260</v>
      </c>
      <c r="I9" s="116">
        <v>34.0</v>
      </c>
      <c r="J9" s="116" t="s">
        <v>260</v>
      </c>
      <c r="K9" s="117">
        <v>0.0</v>
      </c>
      <c r="L9" s="117">
        <v>24.0</v>
      </c>
      <c r="M9" s="136" t="s">
        <v>260</v>
      </c>
      <c r="N9" s="121">
        <f t="shared" ref="N9:O9" si="16">F9*K9</f>
        <v>0</v>
      </c>
      <c r="O9" s="121">
        <f t="shared" si="16"/>
        <v>17280</v>
      </c>
      <c r="P9" s="138">
        <v>0.0</v>
      </c>
      <c r="Q9" s="124">
        <f t="shared" si="7"/>
        <v>17280</v>
      </c>
      <c r="R9" s="126">
        <f t="shared" si="17"/>
        <v>9.6</v>
      </c>
      <c r="S9" s="126">
        <f t="shared" si="9"/>
        <v>689.472</v>
      </c>
      <c r="T9" s="126">
        <f t="shared" si="10"/>
        <v>699.072</v>
      </c>
      <c r="U9" s="130">
        <f t="shared" si="11"/>
        <v>16580.928</v>
      </c>
    </row>
    <row r="10">
      <c r="A10" s="2" t="s">
        <v>268</v>
      </c>
      <c r="B10" s="113">
        <f t="shared" si="18"/>
        <v>1000</v>
      </c>
      <c r="C10" s="114">
        <v>0.2</v>
      </c>
      <c r="D10" s="114">
        <v>0.1</v>
      </c>
      <c r="E10" s="115">
        <f t="shared" si="2"/>
        <v>900</v>
      </c>
      <c r="F10" s="38">
        <f t="shared" si="3"/>
        <v>800</v>
      </c>
      <c r="G10" s="38">
        <f t="shared" si="4"/>
        <v>720</v>
      </c>
      <c r="H10" s="34" t="s">
        <v>260</v>
      </c>
      <c r="I10" s="116">
        <v>28.0</v>
      </c>
      <c r="J10" s="116" t="s">
        <v>260</v>
      </c>
      <c r="K10" s="117">
        <v>0.0</v>
      </c>
      <c r="L10" s="117">
        <v>28.0</v>
      </c>
      <c r="M10" s="136" t="s">
        <v>260</v>
      </c>
      <c r="N10" s="121">
        <f t="shared" ref="N10:O10" si="19">F10*K10</f>
        <v>0</v>
      </c>
      <c r="O10" s="121">
        <f t="shared" si="19"/>
        <v>20160</v>
      </c>
      <c r="P10" s="138">
        <v>0.0</v>
      </c>
      <c r="Q10" s="124">
        <f t="shared" si="7"/>
        <v>20160</v>
      </c>
      <c r="R10" s="126">
        <f t="shared" si="17"/>
        <v>11.2</v>
      </c>
      <c r="S10" s="126">
        <f t="shared" si="9"/>
        <v>804.384</v>
      </c>
      <c r="T10" s="126">
        <f t="shared" si="10"/>
        <v>815.584</v>
      </c>
      <c r="U10" s="130">
        <f t="shared" si="11"/>
        <v>19344.416</v>
      </c>
    </row>
    <row r="11">
      <c r="A11" s="2" t="s">
        <v>272</v>
      </c>
      <c r="B11" s="113">
        <f>4*200</f>
        <v>800</v>
      </c>
      <c r="C11" s="114">
        <v>0.2</v>
      </c>
      <c r="D11" s="114">
        <v>0.1</v>
      </c>
      <c r="E11" s="115">
        <f t="shared" si="2"/>
        <v>720</v>
      </c>
      <c r="F11" s="38">
        <f t="shared" si="3"/>
        <v>640</v>
      </c>
      <c r="G11" s="38">
        <f t="shared" si="4"/>
        <v>576</v>
      </c>
      <c r="H11" s="34" t="s">
        <v>260</v>
      </c>
      <c r="I11" s="116">
        <v>52.0</v>
      </c>
      <c r="J11" s="116" t="s">
        <v>260</v>
      </c>
      <c r="K11" s="117">
        <v>0.0</v>
      </c>
      <c r="L11" s="117">
        <v>52.0</v>
      </c>
      <c r="M11" s="136" t="s">
        <v>260</v>
      </c>
      <c r="N11" s="121">
        <f t="shared" ref="N11:O11" si="20">F11*K11</f>
        <v>0</v>
      </c>
      <c r="O11" s="121">
        <f t="shared" si="20"/>
        <v>29952</v>
      </c>
      <c r="P11" s="138">
        <v>0.0</v>
      </c>
      <c r="Q11" s="124">
        <f t="shared" si="7"/>
        <v>29952</v>
      </c>
      <c r="R11" s="126">
        <f t="shared" si="17"/>
        <v>20.8</v>
      </c>
      <c r="S11" s="126">
        <f t="shared" si="9"/>
        <v>1195.0848</v>
      </c>
      <c r="T11" s="126">
        <f t="shared" si="10"/>
        <v>1215.8848</v>
      </c>
      <c r="U11" s="130">
        <f t="shared" si="11"/>
        <v>28736.1152</v>
      </c>
    </row>
    <row r="12">
      <c r="A12" s="2" t="s">
        <v>276</v>
      </c>
      <c r="B12" s="113">
        <v>50.0</v>
      </c>
      <c r="C12" s="114">
        <v>0.2</v>
      </c>
      <c r="D12" s="114">
        <v>0.1</v>
      </c>
      <c r="E12" s="115">
        <f t="shared" si="2"/>
        <v>45</v>
      </c>
      <c r="F12" s="38">
        <f t="shared" si="3"/>
        <v>40</v>
      </c>
      <c r="G12" s="38">
        <f t="shared" si="4"/>
        <v>36</v>
      </c>
      <c r="H12" s="38">
        <f>B12/2</f>
        <v>25</v>
      </c>
      <c r="I12" s="116">
        <v>500.0</v>
      </c>
      <c r="J12" s="116">
        <v>80.0</v>
      </c>
      <c r="K12" s="117">
        <v>0.0</v>
      </c>
      <c r="L12" s="117">
        <v>500.0</v>
      </c>
      <c r="M12" s="118">
        <v>80.0</v>
      </c>
      <c r="N12" s="121">
        <f t="shared" ref="N12:P12" si="21">F12*K12</f>
        <v>0</v>
      </c>
      <c r="O12" s="121">
        <f t="shared" si="21"/>
        <v>18000</v>
      </c>
      <c r="P12" s="121">
        <f t="shared" si="21"/>
        <v>2000</v>
      </c>
      <c r="Q12" s="124">
        <f t="shared" si="7"/>
        <v>20000</v>
      </c>
      <c r="R12" s="126">
        <f>(K12+L12+M12)*0.4</f>
        <v>232</v>
      </c>
      <c r="S12" s="126">
        <f t="shared" si="9"/>
        <v>798</v>
      </c>
      <c r="T12" s="126">
        <f t="shared" si="10"/>
        <v>1030</v>
      </c>
      <c r="U12" s="130">
        <f t="shared" si="11"/>
        <v>18970</v>
      </c>
    </row>
    <row r="13">
      <c r="B13" s="145"/>
      <c r="C13" s="147"/>
      <c r="D13" s="147"/>
      <c r="E13" s="8"/>
      <c r="F13" s="149">
        <f t="shared" ref="F13:H13" si="22">SUM(F3:F12)</f>
        <v>3765</v>
      </c>
      <c r="G13" s="149">
        <f t="shared" si="22"/>
        <v>3388.5</v>
      </c>
      <c r="H13" s="149">
        <f t="shared" si="22"/>
        <v>400</v>
      </c>
      <c r="I13" s="151"/>
      <c r="J13" s="151"/>
      <c r="K13" s="153"/>
      <c r="L13" s="153"/>
      <c r="M13" s="153"/>
      <c r="N13" s="155">
        <f t="shared" ref="N13:P13" si="23">SUM(N3:N12)</f>
        <v>0</v>
      </c>
      <c r="O13" s="155">
        <f t="shared" si="23"/>
        <v>247878</v>
      </c>
      <c r="P13" s="155">
        <f t="shared" si="23"/>
        <v>13250</v>
      </c>
      <c r="Q13" s="157">
        <f t="shared" si="7"/>
        <v>261128</v>
      </c>
      <c r="R13" s="158">
        <f t="shared" ref="R13:U13" si="24">sum(R3:R12)</f>
        <v>943.2</v>
      </c>
      <c r="S13" s="158">
        <f t="shared" si="24"/>
        <v>10419.0072</v>
      </c>
      <c r="T13" s="158">
        <f t="shared" si="24"/>
        <v>11362.2072</v>
      </c>
      <c r="U13" s="159">
        <f t="shared" si="24"/>
        <v>249765.7928</v>
      </c>
    </row>
    <row r="14">
      <c r="A14" s="101"/>
      <c r="B14" s="160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</row>
    <row r="15">
      <c r="A15" s="101"/>
      <c r="B15" s="160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</row>
    <row r="16">
      <c r="A16" s="101"/>
      <c r="B16" s="160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</row>
    <row r="17">
      <c r="A17" s="101"/>
      <c r="B17" s="103" t="s">
        <v>290</v>
      </c>
      <c r="R17" s="101"/>
      <c r="S17" s="101"/>
      <c r="T17" s="101"/>
      <c r="U17" s="101"/>
      <c r="V17" s="101"/>
      <c r="W17" s="101"/>
    </row>
    <row r="18">
      <c r="A18" s="2" t="s">
        <v>80</v>
      </c>
      <c r="B18" s="104" t="s">
        <v>81</v>
      </c>
      <c r="C18" s="105" t="s">
        <v>84</v>
      </c>
      <c r="D18" s="105" t="s">
        <v>85</v>
      </c>
      <c r="E18" s="7" t="s">
        <v>87</v>
      </c>
      <c r="F18" s="106" t="s">
        <v>89</v>
      </c>
      <c r="G18" s="106" t="s">
        <v>90</v>
      </c>
      <c r="H18" s="106" t="s">
        <v>91</v>
      </c>
      <c r="I18" s="107" t="s">
        <v>92</v>
      </c>
      <c r="J18" s="107" t="s">
        <v>95</v>
      </c>
      <c r="K18" s="108" t="s">
        <v>96</v>
      </c>
      <c r="L18" s="108" t="s">
        <v>97</v>
      </c>
      <c r="M18" s="108" t="s">
        <v>98</v>
      </c>
      <c r="N18" s="109" t="s">
        <v>99</v>
      </c>
      <c r="O18" s="109" t="s">
        <v>100</v>
      </c>
      <c r="P18" s="109" t="s">
        <v>101</v>
      </c>
      <c r="Q18" s="110" t="s">
        <v>102</v>
      </c>
      <c r="R18" s="111" t="s">
        <v>103</v>
      </c>
      <c r="S18" s="111" t="s">
        <v>104</v>
      </c>
      <c r="T18" s="111" t="s">
        <v>105</v>
      </c>
      <c r="U18" s="112" t="s">
        <v>106</v>
      </c>
      <c r="V18" s="101"/>
      <c r="W18" s="101"/>
    </row>
    <row r="19">
      <c r="A19" s="2" t="s">
        <v>8</v>
      </c>
      <c r="B19" s="113">
        <v>200.0</v>
      </c>
      <c r="C19" s="114">
        <v>0.2</v>
      </c>
      <c r="D19" s="114">
        <v>0.1</v>
      </c>
      <c r="E19" s="115">
        <f t="shared" ref="E19:E24" si="26">B19-(B19*D19)</f>
        <v>180</v>
      </c>
      <c r="F19" s="38">
        <f t="shared" ref="F19:F24" si="27">B19-(B19*C19)</f>
        <v>160</v>
      </c>
      <c r="G19" s="38">
        <f t="shared" ref="G19:G24" si="28">E19-(E19*C19)</f>
        <v>144</v>
      </c>
      <c r="H19" s="38">
        <f t="shared" ref="H19:H24" si="29">B19/2</f>
        <v>100</v>
      </c>
      <c r="I19" s="116">
        <v>200.0</v>
      </c>
      <c r="J19" s="116">
        <v>20.0</v>
      </c>
      <c r="K19" s="117">
        <v>0.0</v>
      </c>
      <c r="L19" s="117">
        <v>200.0</v>
      </c>
      <c r="M19" s="118">
        <v>20.0</v>
      </c>
      <c r="N19" s="121">
        <f t="shared" ref="N19:P19" si="25">F19*K19</f>
        <v>0</v>
      </c>
      <c r="O19" s="121">
        <f t="shared" si="25"/>
        <v>28800</v>
      </c>
      <c r="P19" s="121">
        <f t="shared" si="25"/>
        <v>2000</v>
      </c>
      <c r="Q19" s="124">
        <f t="shared" ref="Q19:Q25" si="31">N19+O19+P19</f>
        <v>30800</v>
      </c>
      <c r="R19" s="126">
        <f t="shared" ref="R19:R24" si="32">(K19+L19+M19)*0.4</f>
        <v>88</v>
      </c>
      <c r="S19" s="126">
        <f t="shared" ref="S19:S24" si="33">Q19*3.99%</f>
        <v>1228.92</v>
      </c>
      <c r="T19" s="126">
        <f t="shared" ref="T19:T24" si="34">R19+S19</f>
        <v>1316.92</v>
      </c>
      <c r="U19" s="130">
        <f t="shared" ref="U19:U24" si="35">Q19-T19</f>
        <v>29483.08</v>
      </c>
      <c r="V19" s="101"/>
      <c r="W19" s="101"/>
    </row>
    <row r="20">
      <c r="A20" s="2" t="s">
        <v>32</v>
      </c>
      <c r="B20" s="113">
        <v>120.0</v>
      </c>
      <c r="C20" s="114">
        <v>0.2</v>
      </c>
      <c r="D20" s="114">
        <v>0.1</v>
      </c>
      <c r="E20" s="115">
        <f t="shared" si="26"/>
        <v>108</v>
      </c>
      <c r="F20" s="38">
        <f t="shared" si="27"/>
        <v>96</v>
      </c>
      <c r="G20" s="38">
        <f t="shared" si="28"/>
        <v>86.4</v>
      </c>
      <c r="H20" s="38">
        <f t="shared" si="29"/>
        <v>60</v>
      </c>
      <c r="I20" s="116">
        <v>200.0</v>
      </c>
      <c r="J20" s="116">
        <v>20.0</v>
      </c>
      <c r="K20" s="117">
        <v>0.0</v>
      </c>
      <c r="L20" s="117">
        <v>200.0</v>
      </c>
      <c r="M20" s="118">
        <v>20.0</v>
      </c>
      <c r="N20" s="121">
        <f t="shared" ref="N20:P20" si="30">F20*K20</f>
        <v>0</v>
      </c>
      <c r="O20" s="121">
        <f t="shared" si="30"/>
        <v>17280</v>
      </c>
      <c r="P20" s="121">
        <f t="shared" si="30"/>
        <v>1200</v>
      </c>
      <c r="Q20" s="124">
        <f t="shared" si="31"/>
        <v>18480</v>
      </c>
      <c r="R20" s="126">
        <f t="shared" si="32"/>
        <v>88</v>
      </c>
      <c r="S20" s="126">
        <f t="shared" si="33"/>
        <v>737.352</v>
      </c>
      <c r="T20" s="126">
        <f t="shared" si="34"/>
        <v>825.352</v>
      </c>
      <c r="U20" s="130">
        <f t="shared" si="35"/>
        <v>17654.648</v>
      </c>
      <c r="V20" s="101"/>
      <c r="W20" s="101"/>
    </row>
    <row r="21">
      <c r="A21" s="2" t="s">
        <v>33</v>
      </c>
      <c r="B21" s="113">
        <v>180.0</v>
      </c>
      <c r="C21" s="114">
        <v>0.2</v>
      </c>
      <c r="D21" s="114">
        <v>0.1</v>
      </c>
      <c r="E21" s="115">
        <f t="shared" si="26"/>
        <v>162</v>
      </c>
      <c r="F21" s="38">
        <f t="shared" si="27"/>
        <v>144</v>
      </c>
      <c r="G21" s="38">
        <f t="shared" si="28"/>
        <v>129.6</v>
      </c>
      <c r="H21" s="38">
        <f t="shared" si="29"/>
        <v>90</v>
      </c>
      <c r="I21" s="116">
        <v>200.0</v>
      </c>
      <c r="J21" s="116">
        <v>20.0</v>
      </c>
      <c r="K21" s="117">
        <v>0.0</v>
      </c>
      <c r="L21" s="117">
        <v>200.0</v>
      </c>
      <c r="M21" s="118">
        <v>20.0</v>
      </c>
      <c r="N21" s="121">
        <f t="shared" ref="N21:P21" si="36">F21*K21</f>
        <v>0</v>
      </c>
      <c r="O21" s="121">
        <f t="shared" si="36"/>
        <v>25920</v>
      </c>
      <c r="P21" s="121">
        <f t="shared" si="36"/>
        <v>1800</v>
      </c>
      <c r="Q21" s="124">
        <f t="shared" si="31"/>
        <v>27720</v>
      </c>
      <c r="R21" s="126">
        <f t="shared" si="32"/>
        <v>88</v>
      </c>
      <c r="S21" s="126">
        <f t="shared" si="33"/>
        <v>1106.028</v>
      </c>
      <c r="T21" s="126">
        <f t="shared" si="34"/>
        <v>1194.028</v>
      </c>
      <c r="U21" s="130">
        <f t="shared" si="35"/>
        <v>26525.972</v>
      </c>
      <c r="V21" s="101"/>
      <c r="W21" s="101"/>
    </row>
    <row r="22">
      <c r="A22" s="2" t="s">
        <v>37</v>
      </c>
      <c r="B22" s="113">
        <v>130.0</v>
      </c>
      <c r="C22" s="114">
        <v>0.2</v>
      </c>
      <c r="D22" s="114">
        <v>0.1</v>
      </c>
      <c r="E22" s="115">
        <f t="shared" si="26"/>
        <v>117</v>
      </c>
      <c r="F22" s="38">
        <f t="shared" si="27"/>
        <v>104</v>
      </c>
      <c r="G22" s="38">
        <f t="shared" si="28"/>
        <v>93.6</v>
      </c>
      <c r="H22" s="38">
        <f t="shared" si="29"/>
        <v>65</v>
      </c>
      <c r="I22" s="116">
        <v>200.0</v>
      </c>
      <c r="J22" s="116">
        <v>20.0</v>
      </c>
      <c r="K22" s="117">
        <v>0.0</v>
      </c>
      <c r="L22" s="117">
        <v>200.0</v>
      </c>
      <c r="M22" s="118">
        <v>20.0</v>
      </c>
      <c r="N22" s="121">
        <f t="shared" ref="N22:P22" si="37">F22*K22</f>
        <v>0</v>
      </c>
      <c r="O22" s="121">
        <f t="shared" si="37"/>
        <v>18720</v>
      </c>
      <c r="P22" s="121">
        <f t="shared" si="37"/>
        <v>1300</v>
      </c>
      <c r="Q22" s="124">
        <f t="shared" si="31"/>
        <v>20020</v>
      </c>
      <c r="R22" s="126">
        <f t="shared" si="32"/>
        <v>88</v>
      </c>
      <c r="S22" s="126">
        <f t="shared" si="33"/>
        <v>798.798</v>
      </c>
      <c r="T22" s="126">
        <f t="shared" si="34"/>
        <v>886.798</v>
      </c>
      <c r="U22" s="130">
        <f t="shared" si="35"/>
        <v>19133.202</v>
      </c>
      <c r="V22" s="101"/>
      <c r="W22" s="101"/>
    </row>
    <row r="23">
      <c r="A23" s="2" t="s">
        <v>59</v>
      </c>
      <c r="B23" s="113">
        <v>120.0</v>
      </c>
      <c r="C23" s="114">
        <v>0.2</v>
      </c>
      <c r="D23" s="114">
        <v>0.1</v>
      </c>
      <c r="E23" s="115">
        <f t="shared" si="26"/>
        <v>108</v>
      </c>
      <c r="F23" s="38">
        <f t="shared" si="27"/>
        <v>96</v>
      </c>
      <c r="G23" s="38">
        <f t="shared" si="28"/>
        <v>86.4</v>
      </c>
      <c r="H23" s="38">
        <f t="shared" si="29"/>
        <v>60</v>
      </c>
      <c r="I23" s="116">
        <v>200.0</v>
      </c>
      <c r="J23" s="116">
        <v>20.0</v>
      </c>
      <c r="K23" s="117">
        <v>0.0</v>
      </c>
      <c r="L23" s="117">
        <v>200.0</v>
      </c>
      <c r="M23" s="118">
        <v>20.0</v>
      </c>
      <c r="N23" s="121">
        <f t="shared" ref="N23:P23" si="38">F23*K23</f>
        <v>0</v>
      </c>
      <c r="O23" s="121">
        <f t="shared" si="38"/>
        <v>17280</v>
      </c>
      <c r="P23" s="121">
        <f t="shared" si="38"/>
        <v>1200</v>
      </c>
      <c r="Q23" s="124">
        <f t="shared" si="31"/>
        <v>18480</v>
      </c>
      <c r="R23" s="126">
        <f t="shared" si="32"/>
        <v>88</v>
      </c>
      <c r="S23" s="126">
        <f t="shared" si="33"/>
        <v>737.352</v>
      </c>
      <c r="T23" s="126">
        <f t="shared" si="34"/>
        <v>825.352</v>
      </c>
      <c r="U23" s="130">
        <f t="shared" si="35"/>
        <v>17654.648</v>
      </c>
      <c r="V23" s="101"/>
      <c r="W23" s="101"/>
    </row>
    <row r="24">
      <c r="A24" s="2" t="s">
        <v>321</v>
      </c>
      <c r="B24" s="113">
        <v>50.0</v>
      </c>
      <c r="C24" s="114">
        <v>0.1</v>
      </c>
      <c r="D24" s="114">
        <v>0.1</v>
      </c>
      <c r="E24" s="115">
        <f t="shared" si="26"/>
        <v>45</v>
      </c>
      <c r="F24" s="38">
        <f t="shared" si="27"/>
        <v>45</v>
      </c>
      <c r="G24" s="38">
        <f t="shared" si="28"/>
        <v>40.5</v>
      </c>
      <c r="H24" s="38">
        <f t="shared" si="29"/>
        <v>25</v>
      </c>
      <c r="I24" s="116">
        <v>500.0</v>
      </c>
      <c r="J24" s="116">
        <v>50.0</v>
      </c>
      <c r="K24" s="117">
        <v>0.0</v>
      </c>
      <c r="L24" s="117">
        <v>500.0</v>
      </c>
      <c r="M24" s="118">
        <v>50.0</v>
      </c>
      <c r="N24" s="121">
        <f t="shared" ref="N24:P24" si="39">F24*K24</f>
        <v>0</v>
      </c>
      <c r="O24" s="121">
        <f t="shared" si="39"/>
        <v>20250</v>
      </c>
      <c r="P24" s="121">
        <f t="shared" si="39"/>
        <v>1250</v>
      </c>
      <c r="Q24" s="124">
        <f t="shared" si="31"/>
        <v>21500</v>
      </c>
      <c r="R24" s="126">
        <f t="shared" si="32"/>
        <v>220</v>
      </c>
      <c r="S24" s="126">
        <f t="shared" si="33"/>
        <v>857.85</v>
      </c>
      <c r="T24" s="126">
        <f t="shared" si="34"/>
        <v>1077.85</v>
      </c>
      <c r="U24" s="130">
        <f t="shared" si="35"/>
        <v>20422.15</v>
      </c>
    </row>
    <row r="25">
      <c r="A25" s="101"/>
      <c r="B25" s="145"/>
      <c r="C25" s="147"/>
      <c r="D25" s="147"/>
      <c r="E25" s="8"/>
      <c r="F25" s="149">
        <f t="shared" ref="F25:H25" si="40">SUM(F19:F24)</f>
        <v>645</v>
      </c>
      <c r="G25" s="149">
        <f t="shared" si="40"/>
        <v>580.5</v>
      </c>
      <c r="H25" s="149">
        <f t="shared" si="40"/>
        <v>400</v>
      </c>
      <c r="I25" s="151"/>
      <c r="J25" s="151"/>
      <c r="K25" s="153"/>
      <c r="L25" s="153"/>
      <c r="M25" s="153"/>
      <c r="N25" s="155">
        <f t="shared" ref="N25:P25" si="41">SUM(N19:N24)</f>
        <v>0</v>
      </c>
      <c r="O25" s="155">
        <f t="shared" si="41"/>
        <v>128250</v>
      </c>
      <c r="P25" s="155">
        <f t="shared" si="41"/>
        <v>8750</v>
      </c>
      <c r="Q25" s="157">
        <f t="shared" si="31"/>
        <v>137000</v>
      </c>
      <c r="R25" s="158">
        <f t="shared" ref="R25:U25" si="42">SUM(R19:R24)</f>
        <v>660</v>
      </c>
      <c r="S25" s="158">
        <f t="shared" si="42"/>
        <v>5466.3</v>
      </c>
      <c r="T25" s="158">
        <f t="shared" si="42"/>
        <v>6126.3</v>
      </c>
      <c r="U25" s="159">
        <f t="shared" si="42"/>
        <v>130873.7</v>
      </c>
      <c r="V25" s="101"/>
      <c r="W25" s="101"/>
    </row>
    <row r="26">
      <c r="A26" s="101"/>
      <c r="B26" s="160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</row>
    <row r="27">
      <c r="A27" s="101"/>
      <c r="B27" s="160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</row>
    <row r="28">
      <c r="A28" s="101"/>
      <c r="B28" s="160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</row>
    <row r="29">
      <c r="A29" s="101"/>
      <c r="B29" s="103" t="s">
        <v>333</v>
      </c>
      <c r="R29" s="101"/>
      <c r="S29" s="101"/>
      <c r="T29" s="101"/>
      <c r="U29" s="101"/>
      <c r="V29" s="101"/>
      <c r="W29" s="101"/>
    </row>
    <row r="30">
      <c r="A30" s="2" t="s">
        <v>80</v>
      </c>
      <c r="B30" s="104" t="s">
        <v>81</v>
      </c>
      <c r="C30" s="105" t="s">
        <v>84</v>
      </c>
      <c r="D30" s="105" t="s">
        <v>85</v>
      </c>
      <c r="E30" s="7" t="s">
        <v>87</v>
      </c>
      <c r="F30" s="106" t="s">
        <v>89</v>
      </c>
      <c r="G30" s="106" t="s">
        <v>90</v>
      </c>
      <c r="H30" s="106" t="s">
        <v>91</v>
      </c>
      <c r="I30" s="107" t="s">
        <v>92</v>
      </c>
      <c r="J30" s="107" t="s">
        <v>95</v>
      </c>
      <c r="K30" s="108" t="s">
        <v>96</v>
      </c>
      <c r="L30" s="108" t="s">
        <v>97</v>
      </c>
      <c r="M30" s="108" t="s">
        <v>98</v>
      </c>
      <c r="N30" s="109" t="s">
        <v>99</v>
      </c>
      <c r="O30" s="109" t="s">
        <v>100</v>
      </c>
      <c r="P30" s="109" t="s">
        <v>101</v>
      </c>
      <c r="Q30" s="110" t="s">
        <v>102</v>
      </c>
      <c r="R30" s="111" t="s">
        <v>103</v>
      </c>
      <c r="S30" s="111" t="s">
        <v>104</v>
      </c>
      <c r="T30" s="111" t="s">
        <v>105</v>
      </c>
      <c r="U30" s="112" t="s">
        <v>106</v>
      </c>
      <c r="V30" s="101"/>
      <c r="W30" s="101"/>
    </row>
    <row r="31">
      <c r="A31" s="2" t="s">
        <v>8</v>
      </c>
      <c r="B31" s="113">
        <v>200.0</v>
      </c>
      <c r="C31" s="114">
        <v>0.1</v>
      </c>
      <c r="D31" s="114">
        <v>0.1</v>
      </c>
      <c r="E31" s="115">
        <f t="shared" ref="E31:E36" si="44">B31-(B31*D31)</f>
        <v>180</v>
      </c>
      <c r="F31" s="38">
        <f t="shared" ref="F31:F36" si="45">B31-(B31*C31)</f>
        <v>180</v>
      </c>
      <c r="G31" s="38">
        <f t="shared" ref="G31:G36" si="46">E31-(E31*C31)</f>
        <v>162</v>
      </c>
      <c r="H31" s="38">
        <f t="shared" ref="H31:H36" si="47">B31/2</f>
        <v>100</v>
      </c>
      <c r="I31" s="116">
        <v>100.0</v>
      </c>
      <c r="J31" s="116">
        <v>10.0</v>
      </c>
      <c r="K31" s="117">
        <v>0.0</v>
      </c>
      <c r="L31" s="117">
        <v>100.0</v>
      </c>
      <c r="M31" s="118">
        <v>10.0</v>
      </c>
      <c r="N31" s="121">
        <f t="shared" ref="N31:P31" si="43">F31*K31</f>
        <v>0</v>
      </c>
      <c r="O31" s="121">
        <f t="shared" si="43"/>
        <v>16200</v>
      </c>
      <c r="P31" s="121">
        <f t="shared" si="43"/>
        <v>1000</v>
      </c>
      <c r="Q31" s="124">
        <f t="shared" ref="Q31:Q37" si="49">N31+O31+P31</f>
        <v>17200</v>
      </c>
      <c r="R31" s="126">
        <f t="shared" ref="R31:R36" si="50">(K31+L31+M31)*0.4</f>
        <v>44</v>
      </c>
      <c r="S31" s="126">
        <f t="shared" ref="S31:S36" si="51">Q31*3.99%</f>
        <v>686.28</v>
      </c>
      <c r="T31" s="126">
        <f t="shared" ref="T31:T36" si="52">R31+S31</f>
        <v>730.28</v>
      </c>
      <c r="U31" s="130">
        <f t="shared" ref="U31:U36" si="53">Q31-T31</f>
        <v>16469.72</v>
      </c>
      <c r="V31" s="101"/>
      <c r="W31" s="101"/>
    </row>
    <row r="32">
      <c r="A32" s="2" t="s">
        <v>32</v>
      </c>
      <c r="B32" s="113">
        <v>120.0</v>
      </c>
      <c r="C32" s="114">
        <v>0.1</v>
      </c>
      <c r="D32" s="114">
        <v>0.1</v>
      </c>
      <c r="E32" s="115">
        <f t="shared" si="44"/>
        <v>108</v>
      </c>
      <c r="F32" s="38">
        <f t="shared" si="45"/>
        <v>108</v>
      </c>
      <c r="G32" s="38">
        <f t="shared" si="46"/>
        <v>97.2</v>
      </c>
      <c r="H32" s="38">
        <f t="shared" si="47"/>
        <v>60</v>
      </c>
      <c r="I32" s="116">
        <v>100.0</v>
      </c>
      <c r="J32" s="116">
        <v>10.0</v>
      </c>
      <c r="K32" s="117">
        <v>0.0</v>
      </c>
      <c r="L32" s="117">
        <v>100.0</v>
      </c>
      <c r="M32" s="118">
        <v>10.0</v>
      </c>
      <c r="N32" s="121">
        <f t="shared" ref="N32:P32" si="48">F32*K32</f>
        <v>0</v>
      </c>
      <c r="O32" s="121">
        <f t="shared" si="48"/>
        <v>9720</v>
      </c>
      <c r="P32" s="121">
        <f t="shared" si="48"/>
        <v>600</v>
      </c>
      <c r="Q32" s="124">
        <f t="shared" si="49"/>
        <v>10320</v>
      </c>
      <c r="R32" s="126">
        <f t="shared" si="50"/>
        <v>44</v>
      </c>
      <c r="S32" s="126">
        <f t="shared" si="51"/>
        <v>411.768</v>
      </c>
      <c r="T32" s="126">
        <f t="shared" si="52"/>
        <v>455.768</v>
      </c>
      <c r="U32" s="130">
        <f t="shared" si="53"/>
        <v>9864.232</v>
      </c>
      <c r="V32" s="101"/>
      <c r="W32" s="101"/>
    </row>
    <row r="33">
      <c r="A33" s="2" t="s">
        <v>33</v>
      </c>
      <c r="B33" s="113">
        <v>180.0</v>
      </c>
      <c r="C33" s="114">
        <v>0.1</v>
      </c>
      <c r="D33" s="114">
        <v>0.1</v>
      </c>
      <c r="E33" s="115">
        <f t="shared" si="44"/>
        <v>162</v>
      </c>
      <c r="F33" s="38">
        <f t="shared" si="45"/>
        <v>162</v>
      </c>
      <c r="G33" s="38">
        <f t="shared" si="46"/>
        <v>145.8</v>
      </c>
      <c r="H33" s="38">
        <f t="shared" si="47"/>
        <v>90</v>
      </c>
      <c r="I33" s="116">
        <v>100.0</v>
      </c>
      <c r="J33" s="116">
        <v>10.0</v>
      </c>
      <c r="K33" s="117">
        <v>0.0</v>
      </c>
      <c r="L33" s="117">
        <v>100.0</v>
      </c>
      <c r="M33" s="118">
        <v>10.0</v>
      </c>
      <c r="N33" s="121">
        <f t="shared" ref="N33:P33" si="54">F33*K33</f>
        <v>0</v>
      </c>
      <c r="O33" s="121">
        <f t="shared" si="54"/>
        <v>14580</v>
      </c>
      <c r="P33" s="121">
        <f t="shared" si="54"/>
        <v>900</v>
      </c>
      <c r="Q33" s="124">
        <f t="shared" si="49"/>
        <v>15480</v>
      </c>
      <c r="R33" s="126">
        <f t="shared" si="50"/>
        <v>44</v>
      </c>
      <c r="S33" s="126">
        <f t="shared" si="51"/>
        <v>617.652</v>
      </c>
      <c r="T33" s="126">
        <f t="shared" si="52"/>
        <v>661.652</v>
      </c>
      <c r="U33" s="130">
        <f t="shared" si="53"/>
        <v>14818.348</v>
      </c>
      <c r="V33" s="101"/>
      <c r="W33" s="101"/>
    </row>
    <row r="34">
      <c r="A34" s="2" t="s">
        <v>37</v>
      </c>
      <c r="B34" s="113">
        <v>130.0</v>
      </c>
      <c r="C34" s="114">
        <v>0.1</v>
      </c>
      <c r="D34" s="114">
        <v>0.1</v>
      </c>
      <c r="E34" s="115">
        <f t="shared" si="44"/>
        <v>117</v>
      </c>
      <c r="F34" s="38">
        <f t="shared" si="45"/>
        <v>117</v>
      </c>
      <c r="G34" s="38">
        <f t="shared" si="46"/>
        <v>105.3</v>
      </c>
      <c r="H34" s="38">
        <f t="shared" si="47"/>
        <v>65</v>
      </c>
      <c r="I34" s="116">
        <v>100.0</v>
      </c>
      <c r="J34" s="116">
        <v>10.0</v>
      </c>
      <c r="K34" s="117">
        <v>0.0</v>
      </c>
      <c r="L34" s="117">
        <v>100.0</v>
      </c>
      <c r="M34" s="118">
        <v>10.0</v>
      </c>
      <c r="N34" s="121">
        <f t="shared" ref="N34:P34" si="55">F34*K34</f>
        <v>0</v>
      </c>
      <c r="O34" s="121">
        <f t="shared" si="55"/>
        <v>10530</v>
      </c>
      <c r="P34" s="121">
        <f t="shared" si="55"/>
        <v>650</v>
      </c>
      <c r="Q34" s="124">
        <f t="shared" si="49"/>
        <v>11180</v>
      </c>
      <c r="R34" s="126">
        <f t="shared" si="50"/>
        <v>44</v>
      </c>
      <c r="S34" s="126">
        <f t="shared" si="51"/>
        <v>446.082</v>
      </c>
      <c r="T34" s="126">
        <f t="shared" si="52"/>
        <v>490.082</v>
      </c>
      <c r="U34" s="130">
        <f t="shared" si="53"/>
        <v>10689.918</v>
      </c>
      <c r="V34" s="101"/>
      <c r="W34" s="101"/>
    </row>
    <row r="35">
      <c r="A35" s="2" t="s">
        <v>59</v>
      </c>
      <c r="B35" s="113">
        <v>120.0</v>
      </c>
      <c r="C35" s="114">
        <v>0.1</v>
      </c>
      <c r="D35" s="114">
        <v>0.1</v>
      </c>
      <c r="E35" s="115">
        <f t="shared" si="44"/>
        <v>108</v>
      </c>
      <c r="F35" s="38">
        <f t="shared" si="45"/>
        <v>108</v>
      </c>
      <c r="G35" s="38">
        <f t="shared" si="46"/>
        <v>97.2</v>
      </c>
      <c r="H35" s="38">
        <f t="shared" si="47"/>
        <v>60</v>
      </c>
      <c r="I35" s="116">
        <v>100.0</v>
      </c>
      <c r="J35" s="116">
        <v>10.0</v>
      </c>
      <c r="K35" s="117">
        <v>0.0</v>
      </c>
      <c r="L35" s="117">
        <v>100.0</v>
      </c>
      <c r="M35" s="118">
        <v>10.0</v>
      </c>
      <c r="N35" s="121">
        <f t="shared" ref="N35:P35" si="56">F35*K35</f>
        <v>0</v>
      </c>
      <c r="O35" s="121">
        <f t="shared" si="56"/>
        <v>9720</v>
      </c>
      <c r="P35" s="121">
        <f t="shared" si="56"/>
        <v>600</v>
      </c>
      <c r="Q35" s="124">
        <f t="shared" si="49"/>
        <v>10320</v>
      </c>
      <c r="R35" s="126">
        <f t="shared" si="50"/>
        <v>44</v>
      </c>
      <c r="S35" s="126">
        <f t="shared" si="51"/>
        <v>411.768</v>
      </c>
      <c r="T35" s="126">
        <f t="shared" si="52"/>
        <v>455.768</v>
      </c>
      <c r="U35" s="130">
        <f t="shared" si="53"/>
        <v>9864.232</v>
      </c>
      <c r="V35" s="101"/>
      <c r="W35" s="101"/>
    </row>
    <row r="36">
      <c r="A36" s="2" t="s">
        <v>321</v>
      </c>
      <c r="B36" s="113">
        <v>50.0</v>
      </c>
      <c r="C36" s="114">
        <v>0.0</v>
      </c>
      <c r="D36" s="114">
        <v>0.1</v>
      </c>
      <c r="E36" s="115">
        <f t="shared" si="44"/>
        <v>45</v>
      </c>
      <c r="F36" s="38">
        <f t="shared" si="45"/>
        <v>50</v>
      </c>
      <c r="G36" s="38">
        <f t="shared" si="46"/>
        <v>45</v>
      </c>
      <c r="H36" s="38">
        <f t="shared" si="47"/>
        <v>25</v>
      </c>
      <c r="I36" s="116">
        <v>2000.0</v>
      </c>
      <c r="J36" s="116">
        <v>40.0</v>
      </c>
      <c r="K36" s="117">
        <v>0.0</v>
      </c>
      <c r="L36" s="117">
        <v>1000.0</v>
      </c>
      <c r="M36" s="118">
        <v>40.0</v>
      </c>
      <c r="N36" s="121">
        <f t="shared" ref="N36:P36" si="57">F36*K36</f>
        <v>0</v>
      </c>
      <c r="O36" s="121">
        <f t="shared" si="57"/>
        <v>45000</v>
      </c>
      <c r="P36" s="121">
        <f t="shared" si="57"/>
        <v>1000</v>
      </c>
      <c r="Q36" s="124">
        <f t="shared" si="49"/>
        <v>46000</v>
      </c>
      <c r="R36" s="126">
        <f t="shared" si="50"/>
        <v>416</v>
      </c>
      <c r="S36" s="126">
        <f t="shared" si="51"/>
        <v>1835.4</v>
      </c>
      <c r="T36" s="126">
        <f t="shared" si="52"/>
        <v>2251.4</v>
      </c>
      <c r="U36" s="130">
        <f t="shared" si="53"/>
        <v>43748.6</v>
      </c>
    </row>
    <row r="37">
      <c r="A37" s="101"/>
      <c r="B37" s="145"/>
      <c r="C37" s="147"/>
      <c r="D37" s="147"/>
      <c r="E37" s="8"/>
      <c r="F37" s="149">
        <f t="shared" ref="F37:H37" si="58">SUM(F31:F36)</f>
        <v>725</v>
      </c>
      <c r="G37" s="149">
        <f t="shared" si="58"/>
        <v>652.5</v>
      </c>
      <c r="H37" s="149">
        <f t="shared" si="58"/>
        <v>400</v>
      </c>
      <c r="I37" s="151"/>
      <c r="J37" s="151"/>
      <c r="K37" s="153"/>
      <c r="L37" s="153"/>
      <c r="M37" s="153"/>
      <c r="N37" s="155">
        <f t="shared" ref="N37:P37" si="59">SUM(N31:N36)</f>
        <v>0</v>
      </c>
      <c r="O37" s="155">
        <f t="shared" si="59"/>
        <v>105750</v>
      </c>
      <c r="P37" s="155">
        <f t="shared" si="59"/>
        <v>4750</v>
      </c>
      <c r="Q37" s="157">
        <f t="shared" si="49"/>
        <v>110500</v>
      </c>
      <c r="R37" s="158">
        <f t="shared" ref="R37:U37" si="60">SUM(R31:R36)</f>
        <v>636</v>
      </c>
      <c r="S37" s="158">
        <f t="shared" si="60"/>
        <v>4408.95</v>
      </c>
      <c r="T37" s="158">
        <f t="shared" si="60"/>
        <v>5044.95</v>
      </c>
      <c r="U37" s="159">
        <f t="shared" si="60"/>
        <v>105455.05</v>
      </c>
      <c r="V37" s="101"/>
      <c r="W37" s="101"/>
    </row>
    <row r="38">
      <c r="A38" s="101"/>
      <c r="B38" s="160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</row>
    <row r="39">
      <c r="A39" s="165" t="s">
        <v>366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R39" s="101"/>
      <c r="S39" s="110" t="s">
        <v>370</v>
      </c>
      <c r="T39" s="111" t="s">
        <v>371</v>
      </c>
      <c r="U39" s="112" t="s">
        <v>106</v>
      </c>
      <c r="V39" s="51"/>
      <c r="W39" s="101"/>
    </row>
    <row r="40">
      <c r="A40" s="46" t="s">
        <v>372</v>
      </c>
      <c r="B40" s="166" t="s">
        <v>373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R40" s="101"/>
      <c r="S40" s="157">
        <f>Q13+Q25+Q37</f>
        <v>508628</v>
      </c>
      <c r="T40" s="158">
        <f t="shared" ref="T40:U40" si="61">T13+T25+T37</f>
        <v>22533.4572</v>
      </c>
      <c r="U40" s="159">
        <f t="shared" si="61"/>
        <v>486094.5428</v>
      </c>
      <c r="V40" s="51">
        <f>500-6%</f>
        <v>499.94</v>
      </c>
      <c r="W40" s="101"/>
    </row>
    <row r="41">
      <c r="A41" s="46" t="s">
        <v>378</v>
      </c>
      <c r="B41" s="166" t="s">
        <v>379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</row>
    <row r="42">
      <c r="A42" s="46" t="s">
        <v>381</v>
      </c>
      <c r="B42" s="166" t="s">
        <v>382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</row>
    <row r="43">
      <c r="A43" s="46" t="s">
        <v>383</v>
      </c>
      <c r="B43" s="166" t="s">
        <v>384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</row>
    <row r="44">
      <c r="A44" s="101"/>
      <c r="B44" s="160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</row>
    <row r="45">
      <c r="A45" s="101"/>
      <c r="B45" s="160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</row>
    <row r="46">
      <c r="A46" s="101"/>
      <c r="B46" s="160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</row>
    <row r="47">
      <c r="A47" s="101"/>
      <c r="B47" s="160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</row>
    <row r="48">
      <c r="A48" s="101"/>
      <c r="B48" s="160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</row>
    <row r="49">
      <c r="A49" s="101"/>
      <c r="B49" s="160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</row>
    <row r="50">
      <c r="A50" s="101"/>
      <c r="B50" s="160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</row>
    <row r="51">
      <c r="A51" s="101"/>
      <c r="B51" s="160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</row>
    <row r="52">
      <c r="A52" s="101"/>
      <c r="B52" s="160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</row>
    <row r="53">
      <c r="A53" s="101"/>
      <c r="B53" s="160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</row>
    <row r="54">
      <c r="A54" s="101"/>
      <c r="B54" s="160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</row>
    <row r="55">
      <c r="A55" s="101"/>
      <c r="B55" s="160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</row>
    <row r="56">
      <c r="A56" s="101"/>
      <c r="B56" s="16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</row>
    <row r="57">
      <c r="A57" s="101"/>
      <c r="B57" s="160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</row>
    <row r="58">
      <c r="A58" s="101"/>
      <c r="B58" s="160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</row>
    <row r="59">
      <c r="A59" s="101"/>
      <c r="B59" s="16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</row>
    <row r="60">
      <c r="A60" s="101"/>
      <c r="B60" s="16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</row>
    <row r="61">
      <c r="A61" s="101"/>
      <c r="B61" s="16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</row>
    <row r="62">
      <c r="A62" s="101"/>
      <c r="B62" s="16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</row>
    <row r="63">
      <c r="A63" s="101"/>
      <c r="B63" s="160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</row>
    <row r="64">
      <c r="A64" s="101"/>
      <c r="B64" s="160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</row>
    <row r="65">
      <c r="A65" s="101"/>
      <c r="B65" s="160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</row>
    <row r="66">
      <c r="A66" s="101"/>
      <c r="B66" s="160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</row>
    <row r="67">
      <c r="A67" s="101"/>
      <c r="B67" s="160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</row>
    <row r="68">
      <c r="A68" s="101"/>
      <c r="B68" s="160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</row>
    <row r="69">
      <c r="A69" s="101"/>
      <c r="B69" s="160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</row>
    <row r="70">
      <c r="A70" s="101"/>
      <c r="B70" s="160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</row>
    <row r="71">
      <c r="A71" s="101"/>
      <c r="B71" s="160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</row>
    <row r="72">
      <c r="A72" s="101"/>
      <c r="B72" s="160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</row>
    <row r="73">
      <c r="A73" s="101"/>
      <c r="B73" s="160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</row>
    <row r="74">
      <c r="A74" s="101"/>
      <c r="B74" s="160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</row>
    <row r="75">
      <c r="A75" s="101"/>
      <c r="B75" s="160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</row>
    <row r="76">
      <c r="A76" s="101"/>
      <c r="B76" s="160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</row>
    <row r="77">
      <c r="A77" s="101"/>
      <c r="B77" s="160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</row>
    <row r="78">
      <c r="A78" s="101"/>
      <c r="B78" s="160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</row>
    <row r="79">
      <c r="A79" s="101"/>
      <c r="B79" s="160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</row>
    <row r="80">
      <c r="A80" s="101"/>
      <c r="B80" s="160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</row>
    <row r="81">
      <c r="A81" s="101"/>
      <c r="B81" s="160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</row>
    <row r="82">
      <c r="A82" s="101"/>
      <c r="B82" s="16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</row>
    <row r="83">
      <c r="A83" s="101"/>
      <c r="B83" s="160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</row>
    <row r="84">
      <c r="A84" s="101"/>
      <c r="B84" s="160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</row>
    <row r="85">
      <c r="A85" s="101"/>
      <c r="B85" s="160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</row>
    <row r="86">
      <c r="A86" s="101"/>
      <c r="B86" s="160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</row>
    <row r="87">
      <c r="A87" s="101"/>
      <c r="B87" s="160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</row>
    <row r="88">
      <c r="A88" s="101"/>
      <c r="B88" s="160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</row>
    <row r="89">
      <c r="A89" s="101"/>
      <c r="B89" s="160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</row>
    <row r="90">
      <c r="A90" s="101"/>
      <c r="B90" s="160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</row>
    <row r="91">
      <c r="A91" s="101"/>
      <c r="B91" s="160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</row>
    <row r="92">
      <c r="A92" s="101"/>
      <c r="B92" s="160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</row>
    <row r="93">
      <c r="A93" s="101"/>
      <c r="B93" s="160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</row>
    <row r="94">
      <c r="A94" s="101"/>
      <c r="B94" s="160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</row>
    <row r="95">
      <c r="A95" s="101"/>
      <c r="B95" s="160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</row>
    <row r="96">
      <c r="A96" s="101"/>
      <c r="B96" s="160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</row>
    <row r="97">
      <c r="A97" s="101"/>
      <c r="B97" s="160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</row>
    <row r="98">
      <c r="A98" s="101"/>
      <c r="B98" s="160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</row>
    <row r="99">
      <c r="A99" s="101"/>
      <c r="B99" s="160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</row>
    <row r="100">
      <c r="A100" s="101"/>
      <c r="B100" s="160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</row>
    <row r="101">
      <c r="A101" s="101"/>
      <c r="B101" s="160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</row>
    <row r="102">
      <c r="A102" s="101"/>
      <c r="B102" s="160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</row>
    <row r="103">
      <c r="A103" s="101"/>
      <c r="B103" s="160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</row>
    <row r="104">
      <c r="A104" s="101"/>
      <c r="B104" s="160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</row>
    <row r="105">
      <c r="A105" s="101"/>
      <c r="B105" s="160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</row>
    <row r="106">
      <c r="A106" s="101"/>
      <c r="B106" s="160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</row>
    <row r="107">
      <c r="A107" s="101"/>
      <c r="B107" s="160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</row>
    <row r="108">
      <c r="A108" s="101"/>
      <c r="B108" s="160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</row>
    <row r="109">
      <c r="A109" s="101"/>
      <c r="B109" s="160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</row>
    <row r="110">
      <c r="A110" s="101"/>
      <c r="B110" s="160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</row>
    <row r="111">
      <c r="A111" s="101"/>
      <c r="B111" s="160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</row>
    <row r="112">
      <c r="A112" s="101"/>
      <c r="B112" s="160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</row>
    <row r="113">
      <c r="A113" s="101"/>
      <c r="B113" s="160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</row>
    <row r="114">
      <c r="A114" s="101"/>
      <c r="B114" s="160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</row>
    <row r="115">
      <c r="A115" s="101"/>
      <c r="B115" s="160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</row>
    <row r="116">
      <c r="A116" s="101"/>
      <c r="B116" s="160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</row>
    <row r="117">
      <c r="A117" s="101"/>
      <c r="B117" s="160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</row>
    <row r="118">
      <c r="A118" s="101"/>
      <c r="B118" s="160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</row>
    <row r="119">
      <c r="A119" s="101"/>
      <c r="B119" s="160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</row>
    <row r="120">
      <c r="A120" s="101"/>
      <c r="B120" s="160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</row>
    <row r="121">
      <c r="A121" s="101"/>
      <c r="B121" s="160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</row>
    <row r="122">
      <c r="A122" s="101"/>
      <c r="B122" s="160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</row>
    <row r="123">
      <c r="A123" s="101"/>
      <c r="B123" s="160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</row>
    <row r="124">
      <c r="A124" s="101"/>
      <c r="B124" s="160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</row>
    <row r="125">
      <c r="A125" s="101"/>
      <c r="B125" s="160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</row>
    <row r="126">
      <c r="A126" s="101"/>
      <c r="B126" s="160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</row>
    <row r="127">
      <c r="A127" s="101"/>
      <c r="B127" s="160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</row>
    <row r="128">
      <c r="A128" s="101"/>
      <c r="B128" s="160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</row>
    <row r="129">
      <c r="A129" s="101"/>
      <c r="B129" s="160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</row>
    <row r="130">
      <c r="A130" s="101"/>
      <c r="B130" s="160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</row>
    <row r="131">
      <c r="A131" s="101"/>
      <c r="B131" s="160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</row>
    <row r="132">
      <c r="A132" s="101"/>
      <c r="B132" s="160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</row>
    <row r="133">
      <c r="A133" s="101"/>
      <c r="B133" s="160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</row>
    <row r="134">
      <c r="A134" s="101"/>
      <c r="B134" s="160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</row>
    <row r="135">
      <c r="A135" s="101"/>
      <c r="B135" s="160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</row>
    <row r="136">
      <c r="A136" s="101"/>
      <c r="B136" s="160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</row>
    <row r="137">
      <c r="A137" s="101"/>
      <c r="B137" s="160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</row>
    <row r="138">
      <c r="A138" s="101"/>
      <c r="B138" s="160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</row>
    <row r="139">
      <c r="A139" s="101"/>
      <c r="B139" s="160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</row>
    <row r="140">
      <c r="A140" s="101"/>
      <c r="B140" s="160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</row>
    <row r="141">
      <c r="A141" s="101"/>
      <c r="B141" s="160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</row>
    <row r="142">
      <c r="A142" s="101"/>
      <c r="B142" s="160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</row>
    <row r="143">
      <c r="A143" s="101"/>
      <c r="B143" s="160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</row>
    <row r="144">
      <c r="A144" s="101"/>
      <c r="B144" s="160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</row>
    <row r="145">
      <c r="A145" s="101"/>
      <c r="B145" s="160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</row>
    <row r="146">
      <c r="A146" s="101"/>
      <c r="B146" s="160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</row>
    <row r="147">
      <c r="A147" s="101"/>
      <c r="B147" s="160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</row>
    <row r="148">
      <c r="A148" s="101"/>
      <c r="B148" s="160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</row>
    <row r="149">
      <c r="A149" s="101"/>
      <c r="B149" s="160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</row>
    <row r="150">
      <c r="A150" s="101"/>
      <c r="B150" s="160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</row>
    <row r="151">
      <c r="A151" s="101"/>
      <c r="B151" s="160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</row>
    <row r="152">
      <c r="A152" s="101"/>
      <c r="B152" s="160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</row>
    <row r="153">
      <c r="A153" s="101"/>
      <c r="B153" s="160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</row>
    <row r="154">
      <c r="A154" s="101"/>
      <c r="B154" s="160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</row>
    <row r="155">
      <c r="A155" s="101"/>
      <c r="B155" s="160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</row>
    <row r="156">
      <c r="A156" s="101"/>
      <c r="B156" s="160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</row>
    <row r="157">
      <c r="A157" s="101"/>
      <c r="B157" s="160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</row>
    <row r="158">
      <c r="A158" s="101"/>
      <c r="B158" s="160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</row>
    <row r="159">
      <c r="A159" s="101"/>
      <c r="B159" s="160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</row>
    <row r="160">
      <c r="A160" s="101"/>
      <c r="B160" s="160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</row>
    <row r="161">
      <c r="A161" s="101"/>
      <c r="B161" s="160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</row>
    <row r="162">
      <c r="A162" s="101"/>
      <c r="B162" s="160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</row>
    <row r="163">
      <c r="A163" s="101"/>
      <c r="B163" s="160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</row>
    <row r="164">
      <c r="A164" s="101"/>
      <c r="B164" s="160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</row>
    <row r="165">
      <c r="A165" s="101"/>
      <c r="B165" s="160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</row>
    <row r="166">
      <c r="A166" s="101"/>
      <c r="B166" s="160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</row>
    <row r="167">
      <c r="A167" s="101"/>
      <c r="B167" s="160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</row>
    <row r="168">
      <c r="A168" s="101"/>
      <c r="B168" s="160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</row>
    <row r="169">
      <c r="A169" s="101"/>
      <c r="B169" s="160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</row>
    <row r="170">
      <c r="A170" s="101"/>
      <c r="B170" s="160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</row>
    <row r="171">
      <c r="A171" s="101"/>
      <c r="B171" s="160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</row>
    <row r="172">
      <c r="A172" s="101"/>
      <c r="B172" s="160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</row>
    <row r="173">
      <c r="A173" s="101"/>
      <c r="B173" s="160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</row>
    <row r="174">
      <c r="A174" s="101"/>
      <c r="B174" s="160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</row>
    <row r="175">
      <c r="A175" s="101"/>
      <c r="B175" s="160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</row>
    <row r="176">
      <c r="A176" s="101"/>
      <c r="B176" s="160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</row>
    <row r="177">
      <c r="A177" s="101"/>
      <c r="B177" s="160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</row>
    <row r="178">
      <c r="A178" s="101"/>
      <c r="B178" s="160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</row>
    <row r="179">
      <c r="A179" s="101"/>
      <c r="B179" s="160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</row>
    <row r="180">
      <c r="A180" s="101"/>
      <c r="B180" s="160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</row>
    <row r="181">
      <c r="A181" s="101"/>
      <c r="B181" s="160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</row>
    <row r="182">
      <c r="A182" s="101"/>
      <c r="B182" s="160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</row>
    <row r="183">
      <c r="A183" s="101"/>
      <c r="B183" s="160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</row>
    <row r="184">
      <c r="A184" s="101"/>
      <c r="B184" s="160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</row>
    <row r="185">
      <c r="A185" s="101"/>
      <c r="B185" s="160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</row>
    <row r="186">
      <c r="A186" s="101"/>
      <c r="B186" s="160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</row>
    <row r="187">
      <c r="A187" s="101"/>
      <c r="B187" s="160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</row>
    <row r="188">
      <c r="A188" s="101"/>
      <c r="B188" s="160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</row>
    <row r="189">
      <c r="A189" s="101"/>
      <c r="B189" s="160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</row>
    <row r="190">
      <c r="A190" s="101"/>
      <c r="B190" s="160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</row>
    <row r="191">
      <c r="A191" s="101"/>
      <c r="B191" s="160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</row>
    <row r="192">
      <c r="A192" s="101"/>
      <c r="B192" s="160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</row>
    <row r="193">
      <c r="A193" s="101"/>
      <c r="B193" s="160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</row>
    <row r="194">
      <c r="A194" s="101"/>
      <c r="B194" s="160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</row>
    <row r="195">
      <c r="A195" s="101"/>
      <c r="B195" s="160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</row>
    <row r="196">
      <c r="A196" s="101"/>
      <c r="B196" s="160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</row>
    <row r="197">
      <c r="A197" s="101"/>
      <c r="B197" s="160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</row>
    <row r="198">
      <c r="A198" s="101"/>
      <c r="B198" s="160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</row>
    <row r="199">
      <c r="A199" s="101"/>
      <c r="B199" s="160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</row>
    <row r="200">
      <c r="A200" s="101"/>
      <c r="B200" s="160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</row>
    <row r="201">
      <c r="A201" s="101"/>
      <c r="B201" s="160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</row>
    <row r="202">
      <c r="A202" s="101"/>
      <c r="B202" s="160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</row>
    <row r="203">
      <c r="A203" s="101"/>
      <c r="B203" s="160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</row>
    <row r="204">
      <c r="A204" s="101"/>
      <c r="B204" s="160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</row>
    <row r="205">
      <c r="A205" s="101"/>
      <c r="B205" s="160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</row>
    <row r="206">
      <c r="A206" s="101"/>
      <c r="B206" s="160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</row>
    <row r="207">
      <c r="A207" s="101"/>
      <c r="B207" s="160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</row>
    <row r="208">
      <c r="A208" s="101"/>
      <c r="B208" s="160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</row>
    <row r="209">
      <c r="A209" s="101"/>
      <c r="B209" s="160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</row>
    <row r="210">
      <c r="A210" s="101"/>
      <c r="B210" s="160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</row>
    <row r="211">
      <c r="A211" s="101"/>
      <c r="B211" s="160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</row>
    <row r="212">
      <c r="A212" s="101"/>
      <c r="B212" s="160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</row>
    <row r="213">
      <c r="A213" s="101"/>
      <c r="B213" s="160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</row>
    <row r="214">
      <c r="A214" s="101"/>
      <c r="B214" s="160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</row>
    <row r="215">
      <c r="A215" s="101"/>
      <c r="B215" s="160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</row>
    <row r="216">
      <c r="A216" s="101"/>
      <c r="B216" s="160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</row>
    <row r="217">
      <c r="A217" s="101"/>
      <c r="B217" s="160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</row>
    <row r="218">
      <c r="A218" s="101"/>
      <c r="B218" s="160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</row>
    <row r="219">
      <c r="A219" s="101"/>
      <c r="B219" s="160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</row>
    <row r="220">
      <c r="A220" s="101"/>
      <c r="B220" s="160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</row>
    <row r="221">
      <c r="A221" s="101"/>
      <c r="B221" s="160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</row>
    <row r="222">
      <c r="A222" s="101"/>
      <c r="B222" s="160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</row>
    <row r="223">
      <c r="A223" s="101"/>
      <c r="B223" s="160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</row>
    <row r="224">
      <c r="A224" s="101"/>
      <c r="B224" s="160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</row>
    <row r="225">
      <c r="A225" s="101"/>
      <c r="B225" s="160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</row>
    <row r="226">
      <c r="A226" s="101"/>
      <c r="B226" s="160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</row>
    <row r="227">
      <c r="A227" s="101"/>
      <c r="B227" s="160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</row>
    <row r="228">
      <c r="A228" s="101"/>
      <c r="B228" s="160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</row>
    <row r="229">
      <c r="A229" s="101"/>
      <c r="B229" s="160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</row>
    <row r="230">
      <c r="A230" s="101"/>
      <c r="B230" s="160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</row>
    <row r="231">
      <c r="A231" s="101"/>
      <c r="B231" s="160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</row>
    <row r="232">
      <c r="A232" s="101"/>
      <c r="B232" s="160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</row>
    <row r="233">
      <c r="A233" s="101"/>
      <c r="B233" s="160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</row>
    <row r="234">
      <c r="A234" s="101"/>
      <c r="B234" s="160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</row>
    <row r="235">
      <c r="A235" s="101"/>
      <c r="B235" s="160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</row>
    <row r="236">
      <c r="A236" s="101"/>
      <c r="B236" s="160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</row>
    <row r="237">
      <c r="A237" s="101"/>
      <c r="B237" s="160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</row>
    <row r="238">
      <c r="A238" s="101"/>
      <c r="B238" s="160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</row>
    <row r="239">
      <c r="A239" s="101"/>
      <c r="B239" s="160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</row>
    <row r="240">
      <c r="A240" s="101"/>
      <c r="B240" s="160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</row>
    <row r="241">
      <c r="A241" s="101"/>
      <c r="B241" s="160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</row>
    <row r="242">
      <c r="A242" s="101"/>
      <c r="B242" s="160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</row>
    <row r="243">
      <c r="A243" s="101"/>
      <c r="B243" s="160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</row>
    <row r="244">
      <c r="A244" s="101"/>
      <c r="B244" s="160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</row>
    <row r="245">
      <c r="A245" s="101"/>
      <c r="B245" s="160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</row>
    <row r="246">
      <c r="A246" s="101"/>
      <c r="B246" s="160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</row>
    <row r="247">
      <c r="A247" s="101"/>
      <c r="B247" s="160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</row>
    <row r="248">
      <c r="A248" s="101"/>
      <c r="B248" s="160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</row>
    <row r="249">
      <c r="A249" s="101"/>
      <c r="B249" s="160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</row>
    <row r="250">
      <c r="A250" s="101"/>
      <c r="B250" s="160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</row>
    <row r="251">
      <c r="A251" s="101"/>
      <c r="B251" s="160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</row>
    <row r="252">
      <c r="A252" s="101"/>
      <c r="B252" s="160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</row>
    <row r="253">
      <c r="A253" s="101"/>
      <c r="B253" s="160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</row>
    <row r="254">
      <c r="A254" s="101"/>
      <c r="B254" s="160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</row>
    <row r="255">
      <c r="A255" s="101"/>
      <c r="B255" s="160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</row>
    <row r="256">
      <c r="A256" s="101"/>
      <c r="B256" s="160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</row>
    <row r="257">
      <c r="A257" s="101"/>
      <c r="B257" s="160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</row>
    <row r="258">
      <c r="A258" s="101"/>
      <c r="B258" s="160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</row>
    <row r="259">
      <c r="A259" s="101"/>
      <c r="B259" s="160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</row>
    <row r="260">
      <c r="A260" s="101"/>
      <c r="B260" s="160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</row>
    <row r="261">
      <c r="A261" s="101"/>
      <c r="B261" s="160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</row>
    <row r="262">
      <c r="A262" s="101"/>
      <c r="B262" s="160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</row>
    <row r="263">
      <c r="A263" s="101"/>
      <c r="B263" s="160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</row>
    <row r="264">
      <c r="A264" s="101"/>
      <c r="B264" s="160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</row>
    <row r="265">
      <c r="A265" s="101"/>
      <c r="B265" s="160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</row>
    <row r="266">
      <c r="A266" s="101"/>
      <c r="B266" s="160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</row>
    <row r="267">
      <c r="A267" s="101"/>
      <c r="B267" s="160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</row>
    <row r="268">
      <c r="A268" s="101"/>
      <c r="B268" s="160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</row>
    <row r="269">
      <c r="A269" s="101"/>
      <c r="B269" s="160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</row>
    <row r="270">
      <c r="A270" s="101"/>
      <c r="B270" s="160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</row>
    <row r="271">
      <c r="A271" s="101"/>
      <c r="B271" s="160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</row>
    <row r="272">
      <c r="A272" s="101"/>
      <c r="B272" s="160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</row>
    <row r="273">
      <c r="A273" s="101"/>
      <c r="B273" s="160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</row>
    <row r="274">
      <c r="A274" s="101"/>
      <c r="B274" s="160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</row>
    <row r="275">
      <c r="A275" s="101"/>
      <c r="B275" s="160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</row>
    <row r="276">
      <c r="A276" s="101"/>
      <c r="B276" s="160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</row>
    <row r="277">
      <c r="A277" s="101"/>
      <c r="B277" s="160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</row>
    <row r="278">
      <c r="A278" s="101"/>
      <c r="B278" s="160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</row>
    <row r="279">
      <c r="A279" s="101"/>
      <c r="B279" s="160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</row>
    <row r="280">
      <c r="A280" s="101"/>
      <c r="B280" s="160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</row>
    <row r="281">
      <c r="A281" s="101"/>
      <c r="B281" s="160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</row>
    <row r="282">
      <c r="A282" s="101"/>
      <c r="B282" s="160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</row>
    <row r="283">
      <c r="A283" s="101"/>
      <c r="B283" s="160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</row>
    <row r="284">
      <c r="A284" s="101"/>
      <c r="B284" s="160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</row>
    <row r="285">
      <c r="A285" s="101"/>
      <c r="B285" s="160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</row>
    <row r="286">
      <c r="A286" s="101"/>
      <c r="B286" s="160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</row>
    <row r="287">
      <c r="A287" s="101"/>
      <c r="B287" s="160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</row>
    <row r="288">
      <c r="A288" s="101"/>
      <c r="B288" s="160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</row>
    <row r="289">
      <c r="A289" s="101"/>
      <c r="B289" s="160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</row>
    <row r="290">
      <c r="A290" s="101"/>
      <c r="B290" s="160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</row>
    <row r="291">
      <c r="A291" s="101"/>
      <c r="B291" s="160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</row>
    <row r="292">
      <c r="A292" s="101"/>
      <c r="B292" s="160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</row>
    <row r="293">
      <c r="A293" s="101"/>
      <c r="B293" s="160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</row>
    <row r="294">
      <c r="A294" s="101"/>
      <c r="B294" s="160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</row>
    <row r="295">
      <c r="A295" s="101"/>
      <c r="B295" s="160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</row>
    <row r="296">
      <c r="A296" s="101"/>
      <c r="B296" s="160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</row>
    <row r="297">
      <c r="A297" s="101"/>
      <c r="B297" s="160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</row>
    <row r="298">
      <c r="A298" s="101"/>
      <c r="B298" s="160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</row>
    <row r="299">
      <c r="A299" s="101"/>
      <c r="B299" s="160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</row>
    <row r="300">
      <c r="A300" s="101"/>
      <c r="B300" s="160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</row>
    <row r="301">
      <c r="A301" s="101"/>
      <c r="B301" s="160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</row>
    <row r="302">
      <c r="A302" s="101"/>
      <c r="B302" s="160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</row>
    <row r="303">
      <c r="A303" s="101"/>
      <c r="B303" s="160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</row>
    <row r="304">
      <c r="A304" s="101"/>
      <c r="B304" s="160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</row>
    <row r="305">
      <c r="A305" s="101"/>
      <c r="B305" s="160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</row>
    <row r="306">
      <c r="A306" s="101"/>
      <c r="B306" s="160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</row>
    <row r="307">
      <c r="A307" s="101"/>
      <c r="B307" s="160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</row>
    <row r="308">
      <c r="A308" s="101"/>
      <c r="B308" s="160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</row>
    <row r="309">
      <c r="A309" s="101"/>
      <c r="B309" s="160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</row>
    <row r="310">
      <c r="A310" s="101"/>
      <c r="B310" s="160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</row>
    <row r="311">
      <c r="A311" s="101"/>
      <c r="B311" s="160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</row>
    <row r="312">
      <c r="A312" s="101"/>
      <c r="B312" s="160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</row>
    <row r="313">
      <c r="A313" s="101"/>
      <c r="B313" s="160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</row>
    <row r="314">
      <c r="A314" s="101"/>
      <c r="B314" s="160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</row>
    <row r="315">
      <c r="A315" s="101"/>
      <c r="B315" s="160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</row>
    <row r="316">
      <c r="A316" s="101"/>
      <c r="B316" s="160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</row>
    <row r="317">
      <c r="A317" s="101"/>
      <c r="B317" s="160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</row>
    <row r="318">
      <c r="A318" s="101"/>
      <c r="B318" s="160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</row>
    <row r="319">
      <c r="A319" s="101"/>
      <c r="B319" s="160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</row>
    <row r="320">
      <c r="A320" s="101"/>
      <c r="B320" s="160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</row>
    <row r="321">
      <c r="A321" s="101"/>
      <c r="B321" s="160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</row>
    <row r="322">
      <c r="A322" s="101"/>
      <c r="B322" s="160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</row>
    <row r="323">
      <c r="A323" s="101"/>
      <c r="B323" s="160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</row>
    <row r="324">
      <c r="A324" s="101"/>
      <c r="B324" s="160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</row>
    <row r="325">
      <c r="A325" s="101"/>
      <c r="B325" s="160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</row>
    <row r="326">
      <c r="A326" s="101"/>
      <c r="B326" s="160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</row>
    <row r="327">
      <c r="A327" s="101"/>
      <c r="B327" s="160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</row>
    <row r="328">
      <c r="A328" s="101"/>
      <c r="B328" s="160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</row>
    <row r="329">
      <c r="A329" s="101"/>
      <c r="B329" s="160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</row>
    <row r="330">
      <c r="A330" s="101"/>
      <c r="B330" s="160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</row>
    <row r="331">
      <c r="A331" s="101"/>
      <c r="B331" s="160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</row>
    <row r="332">
      <c r="A332" s="101"/>
      <c r="B332" s="160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</row>
    <row r="333">
      <c r="A333" s="101"/>
      <c r="B333" s="160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</row>
    <row r="334">
      <c r="A334" s="101"/>
      <c r="B334" s="160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</row>
    <row r="335">
      <c r="A335" s="101"/>
      <c r="B335" s="160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</row>
    <row r="336">
      <c r="A336" s="101"/>
      <c r="B336" s="160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</row>
    <row r="337">
      <c r="A337" s="101"/>
      <c r="B337" s="160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</row>
    <row r="338">
      <c r="A338" s="101"/>
      <c r="B338" s="160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</row>
    <row r="339">
      <c r="A339" s="101"/>
      <c r="B339" s="160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</row>
    <row r="340">
      <c r="A340" s="101"/>
      <c r="B340" s="160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</row>
    <row r="341">
      <c r="A341" s="101"/>
      <c r="B341" s="160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</row>
    <row r="342">
      <c r="A342" s="101"/>
      <c r="B342" s="160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</row>
    <row r="343">
      <c r="A343" s="101"/>
      <c r="B343" s="160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</row>
    <row r="344">
      <c r="A344" s="101"/>
      <c r="B344" s="160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</row>
    <row r="345">
      <c r="A345" s="101"/>
      <c r="B345" s="160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</row>
    <row r="346">
      <c r="A346" s="101"/>
      <c r="B346" s="160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</row>
    <row r="347">
      <c r="A347" s="101"/>
      <c r="B347" s="160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</row>
    <row r="348">
      <c r="A348" s="101"/>
      <c r="B348" s="160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</row>
    <row r="349">
      <c r="A349" s="101"/>
      <c r="B349" s="160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</row>
    <row r="350">
      <c r="A350" s="101"/>
      <c r="B350" s="160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</row>
    <row r="351">
      <c r="A351" s="101"/>
      <c r="B351" s="160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</row>
    <row r="352">
      <c r="A352" s="101"/>
      <c r="B352" s="160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</row>
    <row r="353">
      <c r="A353" s="101"/>
      <c r="B353" s="160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</row>
    <row r="354">
      <c r="A354" s="101"/>
      <c r="B354" s="160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</row>
    <row r="355">
      <c r="A355" s="101"/>
      <c r="B355" s="160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</row>
    <row r="356">
      <c r="A356" s="101"/>
      <c r="B356" s="160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</row>
    <row r="357">
      <c r="A357" s="101"/>
      <c r="B357" s="160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</row>
    <row r="358">
      <c r="A358" s="101"/>
      <c r="B358" s="160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</row>
    <row r="359">
      <c r="A359" s="101"/>
      <c r="B359" s="160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</row>
    <row r="360">
      <c r="A360" s="101"/>
      <c r="B360" s="160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</row>
    <row r="361">
      <c r="A361" s="101"/>
      <c r="B361" s="160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</row>
    <row r="362">
      <c r="A362" s="101"/>
      <c r="B362" s="160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</row>
    <row r="363">
      <c r="A363" s="101"/>
      <c r="B363" s="160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</row>
    <row r="364">
      <c r="A364" s="101"/>
      <c r="B364" s="160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</row>
    <row r="365">
      <c r="A365" s="101"/>
      <c r="B365" s="160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</row>
    <row r="366">
      <c r="A366" s="101"/>
      <c r="B366" s="160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</row>
    <row r="367">
      <c r="A367" s="101"/>
      <c r="B367" s="160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</row>
    <row r="368">
      <c r="A368" s="101"/>
      <c r="B368" s="160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</row>
    <row r="369">
      <c r="A369" s="101"/>
      <c r="B369" s="160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</row>
    <row r="370">
      <c r="A370" s="101"/>
      <c r="B370" s="160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</row>
    <row r="371">
      <c r="A371" s="101"/>
      <c r="B371" s="160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</row>
    <row r="372">
      <c r="A372" s="101"/>
      <c r="B372" s="160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</row>
    <row r="373">
      <c r="A373" s="101"/>
      <c r="B373" s="160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</row>
    <row r="374">
      <c r="A374" s="101"/>
      <c r="B374" s="160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</row>
    <row r="375">
      <c r="A375" s="101"/>
      <c r="B375" s="160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</row>
    <row r="376">
      <c r="A376" s="101"/>
      <c r="B376" s="160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</row>
    <row r="377">
      <c r="A377" s="101"/>
      <c r="B377" s="160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</row>
    <row r="378">
      <c r="A378" s="101"/>
      <c r="B378" s="160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</row>
    <row r="379">
      <c r="A379" s="101"/>
      <c r="B379" s="160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</row>
    <row r="380">
      <c r="A380" s="101"/>
      <c r="B380" s="160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</row>
    <row r="381">
      <c r="A381" s="101"/>
      <c r="B381" s="160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</row>
    <row r="382">
      <c r="A382" s="101"/>
      <c r="B382" s="160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</row>
    <row r="383">
      <c r="A383" s="101"/>
      <c r="B383" s="160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</row>
    <row r="384">
      <c r="A384" s="101"/>
      <c r="B384" s="160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</row>
    <row r="385">
      <c r="A385" s="101"/>
      <c r="B385" s="160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</row>
    <row r="386">
      <c r="A386" s="101"/>
      <c r="B386" s="160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</row>
    <row r="387">
      <c r="A387" s="101"/>
      <c r="B387" s="160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</row>
    <row r="388">
      <c r="A388" s="101"/>
      <c r="B388" s="160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</row>
    <row r="389">
      <c r="A389" s="101"/>
      <c r="B389" s="160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</row>
    <row r="390">
      <c r="A390" s="101"/>
      <c r="B390" s="160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</row>
    <row r="391">
      <c r="A391" s="101"/>
      <c r="B391" s="160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</row>
    <row r="392">
      <c r="A392" s="101"/>
      <c r="B392" s="160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</row>
    <row r="393">
      <c r="A393" s="101"/>
      <c r="B393" s="160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</row>
    <row r="394">
      <c r="A394" s="101"/>
      <c r="B394" s="160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</row>
    <row r="395">
      <c r="A395" s="101"/>
      <c r="B395" s="160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</row>
    <row r="396">
      <c r="A396" s="101"/>
      <c r="B396" s="160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</row>
    <row r="397">
      <c r="A397" s="101"/>
      <c r="B397" s="160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</row>
    <row r="398">
      <c r="A398" s="101"/>
      <c r="B398" s="160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</row>
    <row r="399">
      <c r="A399" s="101"/>
      <c r="B399" s="160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</row>
    <row r="400">
      <c r="A400" s="101"/>
      <c r="B400" s="160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</row>
    <row r="401">
      <c r="A401" s="101"/>
      <c r="B401" s="160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</row>
    <row r="402">
      <c r="A402" s="101"/>
      <c r="B402" s="160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</row>
    <row r="403">
      <c r="A403" s="101"/>
      <c r="B403" s="160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</row>
    <row r="404">
      <c r="A404" s="101"/>
      <c r="B404" s="160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</row>
    <row r="405">
      <c r="A405" s="101"/>
      <c r="B405" s="160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</row>
    <row r="406">
      <c r="A406" s="101"/>
      <c r="B406" s="160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</row>
    <row r="407">
      <c r="A407" s="101"/>
      <c r="B407" s="160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</row>
    <row r="408">
      <c r="A408" s="101"/>
      <c r="B408" s="160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</row>
    <row r="409">
      <c r="A409" s="101"/>
      <c r="B409" s="160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</row>
    <row r="410">
      <c r="A410" s="101"/>
      <c r="B410" s="160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</row>
    <row r="411">
      <c r="A411" s="101"/>
      <c r="B411" s="160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</row>
    <row r="412">
      <c r="A412" s="101"/>
      <c r="B412" s="160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</row>
    <row r="413">
      <c r="A413" s="101"/>
      <c r="B413" s="160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</row>
    <row r="414">
      <c r="A414" s="101"/>
      <c r="B414" s="160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</row>
    <row r="415">
      <c r="A415" s="101"/>
      <c r="B415" s="160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</row>
    <row r="416">
      <c r="A416" s="101"/>
      <c r="B416" s="160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</row>
    <row r="417">
      <c r="A417" s="101"/>
      <c r="B417" s="160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</row>
    <row r="418">
      <c r="A418" s="101"/>
      <c r="B418" s="160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</row>
    <row r="419">
      <c r="A419" s="101"/>
      <c r="B419" s="160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</row>
    <row r="420">
      <c r="A420" s="101"/>
      <c r="B420" s="160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</row>
    <row r="421">
      <c r="A421" s="101"/>
      <c r="B421" s="160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</row>
    <row r="422">
      <c r="A422" s="101"/>
      <c r="B422" s="160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</row>
    <row r="423">
      <c r="A423" s="101"/>
      <c r="B423" s="160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</row>
    <row r="424">
      <c r="A424" s="101"/>
      <c r="B424" s="160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</row>
    <row r="425">
      <c r="A425" s="101"/>
      <c r="B425" s="160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</row>
    <row r="426">
      <c r="A426" s="101"/>
      <c r="B426" s="160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</row>
    <row r="427">
      <c r="A427" s="101"/>
      <c r="B427" s="160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</row>
    <row r="428">
      <c r="A428" s="101"/>
      <c r="B428" s="160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</row>
    <row r="429">
      <c r="A429" s="101"/>
      <c r="B429" s="160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</row>
    <row r="430">
      <c r="A430" s="101"/>
      <c r="B430" s="160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</row>
    <row r="431">
      <c r="A431" s="101"/>
      <c r="B431" s="160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</row>
    <row r="432">
      <c r="A432" s="101"/>
      <c r="B432" s="160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</row>
    <row r="433">
      <c r="A433" s="101"/>
      <c r="B433" s="160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</row>
    <row r="434">
      <c r="A434" s="101"/>
      <c r="B434" s="160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</row>
    <row r="435">
      <c r="A435" s="101"/>
      <c r="B435" s="160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</row>
    <row r="436">
      <c r="A436" s="101"/>
      <c r="B436" s="160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</row>
    <row r="437">
      <c r="A437" s="101"/>
      <c r="B437" s="160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</row>
    <row r="438">
      <c r="A438" s="101"/>
      <c r="B438" s="160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</row>
    <row r="439">
      <c r="A439" s="101"/>
      <c r="B439" s="160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</row>
    <row r="440">
      <c r="A440" s="101"/>
      <c r="B440" s="160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</row>
    <row r="441">
      <c r="A441" s="101"/>
      <c r="B441" s="160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</row>
    <row r="442">
      <c r="A442" s="101"/>
      <c r="B442" s="160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</row>
    <row r="443">
      <c r="A443" s="101"/>
      <c r="B443" s="160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</row>
    <row r="444">
      <c r="A444" s="101"/>
      <c r="B444" s="160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</row>
    <row r="445">
      <c r="A445" s="101"/>
      <c r="B445" s="160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</row>
    <row r="446">
      <c r="A446" s="101"/>
      <c r="B446" s="160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</row>
    <row r="447">
      <c r="A447" s="101"/>
      <c r="B447" s="160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</row>
    <row r="448">
      <c r="A448" s="101"/>
      <c r="B448" s="160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</row>
    <row r="449">
      <c r="A449" s="101"/>
      <c r="B449" s="160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</row>
    <row r="450">
      <c r="A450" s="101"/>
      <c r="B450" s="160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</row>
    <row r="451">
      <c r="A451" s="101"/>
      <c r="B451" s="160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</row>
    <row r="452">
      <c r="A452" s="101"/>
      <c r="B452" s="160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</row>
    <row r="453">
      <c r="A453" s="101"/>
      <c r="B453" s="160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</row>
    <row r="454">
      <c r="A454" s="101"/>
      <c r="B454" s="160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</row>
    <row r="455">
      <c r="A455" s="101"/>
      <c r="B455" s="160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</row>
    <row r="456">
      <c r="A456" s="101"/>
      <c r="B456" s="160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</row>
    <row r="457">
      <c r="A457" s="101"/>
      <c r="B457" s="160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</row>
    <row r="458">
      <c r="A458" s="101"/>
      <c r="B458" s="160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</row>
    <row r="459">
      <c r="A459" s="101"/>
      <c r="B459" s="160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</row>
    <row r="460">
      <c r="A460" s="101"/>
      <c r="B460" s="160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</row>
    <row r="461">
      <c r="A461" s="101"/>
      <c r="B461" s="160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</row>
    <row r="462">
      <c r="A462" s="101"/>
      <c r="B462" s="160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</row>
    <row r="463">
      <c r="A463" s="101"/>
      <c r="B463" s="160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</row>
    <row r="464">
      <c r="A464" s="101"/>
      <c r="B464" s="160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</row>
    <row r="465">
      <c r="A465" s="101"/>
      <c r="B465" s="160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</row>
    <row r="466">
      <c r="A466" s="101"/>
      <c r="B466" s="160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</row>
    <row r="467">
      <c r="A467" s="101"/>
      <c r="B467" s="160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</row>
    <row r="468">
      <c r="A468" s="101"/>
      <c r="B468" s="160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</row>
    <row r="469">
      <c r="A469" s="101"/>
      <c r="B469" s="160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</row>
    <row r="470">
      <c r="A470" s="101"/>
      <c r="B470" s="160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</row>
    <row r="471">
      <c r="A471" s="101"/>
      <c r="B471" s="160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</row>
    <row r="472">
      <c r="A472" s="101"/>
      <c r="B472" s="160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</row>
    <row r="473">
      <c r="A473" s="101"/>
      <c r="B473" s="160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</row>
    <row r="474">
      <c r="A474" s="101"/>
      <c r="B474" s="160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</row>
    <row r="475">
      <c r="A475" s="101"/>
      <c r="B475" s="160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</row>
    <row r="476">
      <c r="A476" s="101"/>
      <c r="B476" s="160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</row>
    <row r="477">
      <c r="A477" s="101"/>
      <c r="B477" s="160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</row>
    <row r="478">
      <c r="A478" s="101"/>
      <c r="B478" s="160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</row>
    <row r="479">
      <c r="A479" s="101"/>
      <c r="B479" s="160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</row>
    <row r="480">
      <c r="A480" s="101"/>
      <c r="B480" s="160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</row>
    <row r="481">
      <c r="A481" s="101"/>
      <c r="B481" s="160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</row>
    <row r="482">
      <c r="A482" s="101"/>
      <c r="B482" s="160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</row>
    <row r="483">
      <c r="A483" s="101"/>
      <c r="B483" s="160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</row>
    <row r="484">
      <c r="A484" s="101"/>
      <c r="B484" s="160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</row>
    <row r="485">
      <c r="A485" s="101"/>
      <c r="B485" s="160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</row>
    <row r="486">
      <c r="A486" s="101"/>
      <c r="B486" s="160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</row>
    <row r="487">
      <c r="A487" s="101"/>
      <c r="B487" s="160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</row>
    <row r="488">
      <c r="A488" s="101"/>
      <c r="B488" s="160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</row>
    <row r="489">
      <c r="A489" s="101"/>
      <c r="B489" s="160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</row>
    <row r="490">
      <c r="A490" s="101"/>
      <c r="B490" s="160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</row>
    <row r="491">
      <c r="A491" s="101"/>
      <c r="B491" s="160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</row>
    <row r="492">
      <c r="A492" s="101"/>
      <c r="B492" s="160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</row>
    <row r="493">
      <c r="A493" s="101"/>
      <c r="B493" s="160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</row>
    <row r="494">
      <c r="A494" s="101"/>
      <c r="B494" s="160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</row>
    <row r="495">
      <c r="A495" s="101"/>
      <c r="B495" s="160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</row>
    <row r="496">
      <c r="A496" s="101"/>
      <c r="B496" s="160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</row>
    <row r="497">
      <c r="A497" s="101"/>
      <c r="B497" s="160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</row>
    <row r="498">
      <c r="A498" s="101"/>
      <c r="B498" s="160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</row>
    <row r="499">
      <c r="A499" s="101"/>
      <c r="B499" s="160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</row>
    <row r="500">
      <c r="A500" s="101"/>
      <c r="B500" s="160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</row>
    <row r="501">
      <c r="A501" s="101"/>
      <c r="B501" s="160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</row>
    <row r="502">
      <c r="A502" s="101"/>
      <c r="B502" s="160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</row>
    <row r="503">
      <c r="A503" s="101"/>
      <c r="B503" s="160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</row>
    <row r="504">
      <c r="A504" s="101"/>
      <c r="B504" s="160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</row>
    <row r="505">
      <c r="A505" s="101"/>
      <c r="B505" s="160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</row>
    <row r="506">
      <c r="A506" s="101"/>
      <c r="B506" s="160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</row>
    <row r="507">
      <c r="A507" s="101"/>
      <c r="B507" s="160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</row>
    <row r="508">
      <c r="A508" s="101"/>
      <c r="B508" s="160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</row>
    <row r="509">
      <c r="A509" s="101"/>
      <c r="B509" s="160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</row>
    <row r="510">
      <c r="A510" s="101"/>
      <c r="B510" s="160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</row>
    <row r="511">
      <c r="A511" s="101"/>
      <c r="B511" s="160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</row>
    <row r="512">
      <c r="A512" s="101"/>
      <c r="B512" s="160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</row>
    <row r="513">
      <c r="A513" s="101"/>
      <c r="B513" s="160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</row>
    <row r="514">
      <c r="A514" s="101"/>
      <c r="B514" s="160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</row>
    <row r="515">
      <c r="A515" s="101"/>
      <c r="B515" s="160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</row>
    <row r="516">
      <c r="A516" s="101"/>
      <c r="B516" s="160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</row>
    <row r="517">
      <c r="A517" s="101"/>
      <c r="B517" s="160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</row>
    <row r="518">
      <c r="A518" s="101"/>
      <c r="B518" s="160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</row>
    <row r="519">
      <c r="A519" s="101"/>
      <c r="B519" s="160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</row>
    <row r="520">
      <c r="A520" s="101"/>
      <c r="B520" s="160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</row>
    <row r="521">
      <c r="A521" s="101"/>
      <c r="B521" s="160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</row>
    <row r="522">
      <c r="A522" s="101"/>
      <c r="B522" s="160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</row>
    <row r="523">
      <c r="A523" s="101"/>
      <c r="B523" s="160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</row>
    <row r="524">
      <c r="A524" s="101"/>
      <c r="B524" s="160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</row>
    <row r="525">
      <c r="A525" s="101"/>
      <c r="B525" s="160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</row>
    <row r="526">
      <c r="A526" s="101"/>
      <c r="B526" s="160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</row>
    <row r="527">
      <c r="A527" s="101"/>
      <c r="B527" s="160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</row>
    <row r="528">
      <c r="A528" s="101"/>
      <c r="B528" s="160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</row>
    <row r="529">
      <c r="A529" s="101"/>
      <c r="B529" s="160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</row>
    <row r="530">
      <c r="A530" s="101"/>
      <c r="B530" s="160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</row>
    <row r="531">
      <c r="A531" s="101"/>
      <c r="B531" s="160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</row>
    <row r="532">
      <c r="A532" s="101"/>
      <c r="B532" s="160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</row>
    <row r="533">
      <c r="A533" s="101"/>
      <c r="B533" s="160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</row>
    <row r="534">
      <c r="A534" s="101"/>
      <c r="B534" s="160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</row>
    <row r="535">
      <c r="A535" s="101"/>
      <c r="B535" s="160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</row>
    <row r="536">
      <c r="A536" s="101"/>
      <c r="B536" s="160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</row>
    <row r="537">
      <c r="A537" s="101"/>
      <c r="B537" s="160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</row>
    <row r="538">
      <c r="A538" s="101"/>
      <c r="B538" s="160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</row>
    <row r="539">
      <c r="A539" s="101"/>
      <c r="B539" s="160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</row>
    <row r="540">
      <c r="A540" s="101"/>
      <c r="B540" s="160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</row>
    <row r="541">
      <c r="A541" s="101"/>
      <c r="B541" s="160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</row>
    <row r="542">
      <c r="A542" s="101"/>
      <c r="B542" s="160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</row>
    <row r="543">
      <c r="A543" s="101"/>
      <c r="B543" s="160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</row>
    <row r="544">
      <c r="A544" s="101"/>
      <c r="B544" s="160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</row>
    <row r="545">
      <c r="A545" s="101"/>
      <c r="B545" s="160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</row>
    <row r="546">
      <c r="A546" s="101"/>
      <c r="B546" s="160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</row>
    <row r="547">
      <c r="A547" s="101"/>
      <c r="B547" s="160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</row>
    <row r="548">
      <c r="A548" s="101"/>
      <c r="B548" s="160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</row>
    <row r="549">
      <c r="A549" s="101"/>
      <c r="B549" s="160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</row>
    <row r="550">
      <c r="A550" s="101"/>
      <c r="B550" s="160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</row>
    <row r="551">
      <c r="A551" s="101"/>
      <c r="B551" s="160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</row>
    <row r="552">
      <c r="A552" s="101"/>
      <c r="B552" s="160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</row>
    <row r="553">
      <c r="A553" s="101"/>
      <c r="B553" s="160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</row>
    <row r="554">
      <c r="A554" s="101"/>
      <c r="B554" s="160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</row>
    <row r="555">
      <c r="A555" s="101"/>
      <c r="B555" s="160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</row>
    <row r="556">
      <c r="A556" s="101"/>
      <c r="B556" s="160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</row>
    <row r="557">
      <c r="A557" s="101"/>
      <c r="B557" s="160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</row>
    <row r="558">
      <c r="A558" s="101"/>
      <c r="B558" s="160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</row>
    <row r="559">
      <c r="A559" s="101"/>
      <c r="B559" s="160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</row>
    <row r="560">
      <c r="A560" s="101"/>
      <c r="B560" s="160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</row>
    <row r="561">
      <c r="A561" s="101"/>
      <c r="B561" s="160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</row>
    <row r="562">
      <c r="A562" s="101"/>
      <c r="B562" s="160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</row>
    <row r="563">
      <c r="A563" s="101"/>
      <c r="B563" s="160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</row>
    <row r="564">
      <c r="A564" s="101"/>
      <c r="B564" s="160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</row>
    <row r="565">
      <c r="A565" s="101"/>
      <c r="B565" s="160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</row>
    <row r="566">
      <c r="A566" s="101"/>
      <c r="B566" s="160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</row>
    <row r="567">
      <c r="A567" s="101"/>
      <c r="B567" s="160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</row>
    <row r="568">
      <c r="A568" s="101"/>
      <c r="B568" s="160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</row>
    <row r="569">
      <c r="A569" s="101"/>
      <c r="B569" s="160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</row>
    <row r="570">
      <c r="A570" s="101"/>
      <c r="B570" s="160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</row>
    <row r="571">
      <c r="A571" s="101"/>
      <c r="B571" s="160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</row>
    <row r="572">
      <c r="A572" s="101"/>
      <c r="B572" s="160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</row>
    <row r="573">
      <c r="A573" s="101"/>
      <c r="B573" s="160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</row>
    <row r="574">
      <c r="A574" s="101"/>
      <c r="B574" s="160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</row>
    <row r="575">
      <c r="A575" s="101"/>
      <c r="B575" s="160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</row>
    <row r="576">
      <c r="A576" s="101"/>
      <c r="B576" s="160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</row>
    <row r="577">
      <c r="A577" s="101"/>
      <c r="B577" s="160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</row>
    <row r="578">
      <c r="A578" s="101"/>
      <c r="B578" s="160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</row>
    <row r="579">
      <c r="A579" s="101"/>
      <c r="B579" s="160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</row>
    <row r="580">
      <c r="A580" s="101"/>
      <c r="B580" s="160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</row>
    <row r="581">
      <c r="A581" s="101"/>
      <c r="B581" s="160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</row>
    <row r="582">
      <c r="A582" s="101"/>
      <c r="B582" s="160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</row>
    <row r="583">
      <c r="A583" s="101"/>
      <c r="B583" s="160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</row>
    <row r="584">
      <c r="A584" s="101"/>
      <c r="B584" s="160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</row>
    <row r="585">
      <c r="A585" s="101"/>
      <c r="B585" s="160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</row>
    <row r="586">
      <c r="A586" s="101"/>
      <c r="B586" s="160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</row>
    <row r="587">
      <c r="A587" s="101"/>
      <c r="B587" s="160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</row>
    <row r="588">
      <c r="A588" s="101"/>
      <c r="B588" s="160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</row>
    <row r="589">
      <c r="A589" s="101"/>
      <c r="B589" s="160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</row>
    <row r="590">
      <c r="A590" s="101"/>
      <c r="B590" s="160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</row>
    <row r="591">
      <c r="A591" s="101"/>
      <c r="B591" s="160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</row>
    <row r="592">
      <c r="A592" s="101"/>
      <c r="B592" s="160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</row>
    <row r="593">
      <c r="A593" s="101"/>
      <c r="B593" s="160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</row>
    <row r="594">
      <c r="A594" s="101"/>
      <c r="B594" s="160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</row>
    <row r="595">
      <c r="A595" s="101"/>
      <c r="B595" s="160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</row>
    <row r="596">
      <c r="A596" s="101"/>
      <c r="B596" s="160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</row>
    <row r="597">
      <c r="A597" s="101"/>
      <c r="B597" s="160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</row>
    <row r="598">
      <c r="A598" s="101"/>
      <c r="B598" s="160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</row>
    <row r="599">
      <c r="A599" s="101"/>
      <c r="B599" s="160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</row>
    <row r="600">
      <c r="A600" s="101"/>
      <c r="B600" s="160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</row>
    <row r="601">
      <c r="A601" s="101"/>
      <c r="B601" s="160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</row>
    <row r="602">
      <c r="A602" s="101"/>
      <c r="B602" s="160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</row>
    <row r="603">
      <c r="A603" s="101"/>
      <c r="B603" s="160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</row>
    <row r="604">
      <c r="A604" s="101"/>
      <c r="B604" s="160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</row>
    <row r="605">
      <c r="A605" s="101"/>
      <c r="B605" s="160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</row>
    <row r="606">
      <c r="A606" s="101"/>
      <c r="B606" s="160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</row>
    <row r="607">
      <c r="A607" s="101"/>
      <c r="B607" s="160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</row>
    <row r="608">
      <c r="A608" s="101"/>
      <c r="B608" s="160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</row>
    <row r="609">
      <c r="A609" s="101"/>
      <c r="B609" s="160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</row>
    <row r="610">
      <c r="A610" s="101"/>
      <c r="B610" s="160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</row>
    <row r="611">
      <c r="A611" s="101"/>
      <c r="B611" s="160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</row>
    <row r="612">
      <c r="A612" s="101"/>
      <c r="B612" s="160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</row>
    <row r="613">
      <c r="A613" s="101"/>
      <c r="B613" s="160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</row>
    <row r="614">
      <c r="A614" s="101"/>
      <c r="B614" s="160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</row>
    <row r="615">
      <c r="A615" s="101"/>
      <c r="B615" s="160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</row>
    <row r="616">
      <c r="A616" s="101"/>
      <c r="B616" s="160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</row>
    <row r="617">
      <c r="A617" s="101"/>
      <c r="B617" s="160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</row>
    <row r="618">
      <c r="A618" s="101"/>
      <c r="B618" s="160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</row>
    <row r="619">
      <c r="A619" s="101"/>
      <c r="B619" s="160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</row>
    <row r="620">
      <c r="A620" s="101"/>
      <c r="B620" s="160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</row>
    <row r="621">
      <c r="A621" s="101"/>
      <c r="B621" s="160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</row>
    <row r="622">
      <c r="A622" s="101"/>
      <c r="B622" s="160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</row>
    <row r="623">
      <c r="A623" s="101"/>
      <c r="B623" s="160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</row>
    <row r="624">
      <c r="A624" s="101"/>
      <c r="B624" s="160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</row>
    <row r="625">
      <c r="A625" s="101"/>
      <c r="B625" s="160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</row>
    <row r="626">
      <c r="A626" s="101"/>
      <c r="B626" s="160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</row>
    <row r="627">
      <c r="A627" s="101"/>
      <c r="B627" s="160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</row>
    <row r="628">
      <c r="A628" s="101"/>
      <c r="B628" s="160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</row>
    <row r="629">
      <c r="A629" s="101"/>
      <c r="B629" s="160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</row>
    <row r="630">
      <c r="A630" s="101"/>
      <c r="B630" s="160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</row>
    <row r="631">
      <c r="A631" s="101"/>
      <c r="B631" s="160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</row>
    <row r="632">
      <c r="A632" s="101"/>
      <c r="B632" s="160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</row>
    <row r="633">
      <c r="A633" s="101"/>
      <c r="B633" s="160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</row>
    <row r="634">
      <c r="A634" s="101"/>
      <c r="B634" s="160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</row>
    <row r="635">
      <c r="A635" s="101"/>
      <c r="B635" s="160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</row>
    <row r="636">
      <c r="A636" s="101"/>
      <c r="B636" s="160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</row>
    <row r="637">
      <c r="A637" s="101"/>
      <c r="B637" s="160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</row>
    <row r="638">
      <c r="A638" s="101"/>
      <c r="B638" s="160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</row>
    <row r="639">
      <c r="A639" s="101"/>
      <c r="B639" s="160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</row>
    <row r="640">
      <c r="A640" s="101"/>
      <c r="B640" s="160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</row>
    <row r="641">
      <c r="A641" s="101"/>
      <c r="B641" s="160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</row>
    <row r="642">
      <c r="A642" s="101"/>
      <c r="B642" s="160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</row>
    <row r="643">
      <c r="A643" s="101"/>
      <c r="B643" s="160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</row>
    <row r="644">
      <c r="A644" s="101"/>
      <c r="B644" s="160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</row>
    <row r="645">
      <c r="A645" s="101"/>
      <c r="B645" s="160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</row>
    <row r="646">
      <c r="A646" s="101"/>
      <c r="B646" s="160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</row>
    <row r="647">
      <c r="A647" s="101"/>
      <c r="B647" s="160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</row>
    <row r="648">
      <c r="A648" s="101"/>
      <c r="B648" s="160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</row>
    <row r="649">
      <c r="A649" s="101"/>
      <c r="B649" s="160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</row>
    <row r="650">
      <c r="A650" s="101"/>
      <c r="B650" s="160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</row>
    <row r="651">
      <c r="A651" s="101"/>
      <c r="B651" s="160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</row>
    <row r="652">
      <c r="A652" s="101"/>
      <c r="B652" s="160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</row>
    <row r="653">
      <c r="A653" s="101"/>
      <c r="B653" s="160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</row>
    <row r="654">
      <c r="A654" s="101"/>
      <c r="B654" s="160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</row>
    <row r="655">
      <c r="A655" s="101"/>
      <c r="B655" s="160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</row>
    <row r="656">
      <c r="A656" s="101"/>
      <c r="B656" s="160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</row>
    <row r="657">
      <c r="A657" s="101"/>
      <c r="B657" s="160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</row>
    <row r="658">
      <c r="A658" s="101"/>
      <c r="B658" s="160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</row>
    <row r="659">
      <c r="A659" s="101"/>
      <c r="B659" s="160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</row>
    <row r="660">
      <c r="A660" s="101"/>
      <c r="B660" s="160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</row>
    <row r="661">
      <c r="A661" s="101"/>
      <c r="B661" s="160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</row>
    <row r="662">
      <c r="A662" s="101"/>
      <c r="B662" s="160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</row>
    <row r="663">
      <c r="A663" s="101"/>
      <c r="B663" s="160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</row>
    <row r="664">
      <c r="A664" s="101"/>
      <c r="B664" s="160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</row>
    <row r="665">
      <c r="A665" s="101"/>
      <c r="B665" s="160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</row>
    <row r="666">
      <c r="A666" s="101"/>
      <c r="B666" s="160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</row>
    <row r="667">
      <c r="A667" s="101"/>
      <c r="B667" s="160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</row>
    <row r="668">
      <c r="A668" s="101"/>
      <c r="B668" s="160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</row>
    <row r="669">
      <c r="A669" s="101"/>
      <c r="B669" s="160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</row>
    <row r="670">
      <c r="A670" s="101"/>
      <c r="B670" s="160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</row>
    <row r="671">
      <c r="A671" s="101"/>
      <c r="B671" s="160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</row>
    <row r="672">
      <c r="A672" s="101"/>
      <c r="B672" s="160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</row>
    <row r="673">
      <c r="A673" s="101"/>
      <c r="B673" s="160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</row>
    <row r="674">
      <c r="A674" s="101"/>
      <c r="B674" s="160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</row>
    <row r="675">
      <c r="A675" s="101"/>
      <c r="B675" s="160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</row>
    <row r="676">
      <c r="A676" s="101"/>
      <c r="B676" s="160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</row>
    <row r="677">
      <c r="A677" s="101"/>
      <c r="B677" s="160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</row>
    <row r="678">
      <c r="A678" s="101"/>
      <c r="B678" s="160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</row>
    <row r="679">
      <c r="A679" s="101"/>
      <c r="B679" s="160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</row>
    <row r="680">
      <c r="A680" s="101"/>
      <c r="B680" s="160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</row>
    <row r="681">
      <c r="A681" s="101"/>
      <c r="B681" s="160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</row>
    <row r="682">
      <c r="A682" s="101"/>
      <c r="B682" s="160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</row>
    <row r="683">
      <c r="A683" s="101"/>
      <c r="B683" s="160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</row>
    <row r="684">
      <c r="A684" s="101"/>
      <c r="B684" s="160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</row>
    <row r="685">
      <c r="A685" s="101"/>
      <c r="B685" s="160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</row>
    <row r="686">
      <c r="A686" s="101"/>
      <c r="B686" s="160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</row>
    <row r="687">
      <c r="A687" s="101"/>
      <c r="B687" s="160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</row>
    <row r="688">
      <c r="A688" s="101"/>
      <c r="B688" s="160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</row>
    <row r="689">
      <c r="A689" s="101"/>
      <c r="B689" s="160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</row>
    <row r="690">
      <c r="A690" s="101"/>
      <c r="B690" s="160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</row>
    <row r="691">
      <c r="A691" s="101"/>
      <c r="B691" s="160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</row>
    <row r="692">
      <c r="A692" s="101"/>
      <c r="B692" s="160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</row>
    <row r="693">
      <c r="A693" s="101"/>
      <c r="B693" s="160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</row>
    <row r="694">
      <c r="A694" s="101"/>
      <c r="B694" s="160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</row>
    <row r="695">
      <c r="A695" s="101"/>
      <c r="B695" s="160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</row>
    <row r="696">
      <c r="A696" s="101"/>
      <c r="B696" s="160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</row>
    <row r="697">
      <c r="A697" s="101"/>
      <c r="B697" s="160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</row>
    <row r="698">
      <c r="A698" s="101"/>
      <c r="B698" s="160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</row>
    <row r="699">
      <c r="A699" s="101"/>
      <c r="B699" s="160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</row>
    <row r="700">
      <c r="A700" s="101"/>
      <c r="B700" s="160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</row>
    <row r="701">
      <c r="A701" s="101"/>
      <c r="B701" s="160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</row>
    <row r="702">
      <c r="A702" s="101"/>
      <c r="B702" s="160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</row>
    <row r="703">
      <c r="A703" s="101"/>
      <c r="B703" s="160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</row>
    <row r="704">
      <c r="A704" s="101"/>
      <c r="B704" s="160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</row>
    <row r="705">
      <c r="A705" s="101"/>
      <c r="B705" s="160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</row>
    <row r="706">
      <c r="A706" s="101"/>
      <c r="B706" s="160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</row>
    <row r="707">
      <c r="A707" s="101"/>
      <c r="B707" s="160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</row>
    <row r="708">
      <c r="A708" s="101"/>
      <c r="B708" s="160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</row>
    <row r="709">
      <c r="A709" s="101"/>
      <c r="B709" s="160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</row>
    <row r="710">
      <c r="A710" s="101"/>
      <c r="B710" s="160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</row>
    <row r="711">
      <c r="A711" s="101"/>
      <c r="B711" s="160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</row>
    <row r="712">
      <c r="A712" s="101"/>
      <c r="B712" s="160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</row>
    <row r="713">
      <c r="A713" s="101"/>
      <c r="B713" s="160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</row>
    <row r="714">
      <c r="A714" s="101"/>
      <c r="B714" s="160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</row>
    <row r="715">
      <c r="A715" s="101"/>
      <c r="B715" s="160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</row>
    <row r="716">
      <c r="A716" s="101"/>
      <c r="B716" s="160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</row>
    <row r="717">
      <c r="A717" s="101"/>
      <c r="B717" s="160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</row>
    <row r="718">
      <c r="A718" s="101"/>
      <c r="B718" s="160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</row>
    <row r="719">
      <c r="A719" s="101"/>
      <c r="B719" s="160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</row>
    <row r="720">
      <c r="A720" s="101"/>
      <c r="B720" s="160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</row>
    <row r="721">
      <c r="A721" s="101"/>
      <c r="B721" s="160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</row>
    <row r="722">
      <c r="A722" s="101"/>
      <c r="B722" s="160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</row>
    <row r="723">
      <c r="A723" s="101"/>
      <c r="B723" s="160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</row>
    <row r="724">
      <c r="A724" s="101"/>
      <c r="B724" s="160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</row>
    <row r="725">
      <c r="A725" s="101"/>
      <c r="B725" s="160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</row>
    <row r="726">
      <c r="A726" s="101"/>
      <c r="B726" s="160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</row>
    <row r="727">
      <c r="A727" s="101"/>
      <c r="B727" s="160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</row>
    <row r="728">
      <c r="A728" s="101"/>
      <c r="B728" s="160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</row>
    <row r="729">
      <c r="A729" s="101"/>
      <c r="B729" s="160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</row>
    <row r="730">
      <c r="A730" s="101"/>
      <c r="B730" s="160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</row>
    <row r="731">
      <c r="A731" s="101"/>
      <c r="B731" s="160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</row>
    <row r="732">
      <c r="A732" s="101"/>
      <c r="B732" s="160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</row>
    <row r="733">
      <c r="A733" s="101"/>
      <c r="B733" s="160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</row>
    <row r="734">
      <c r="A734" s="101"/>
      <c r="B734" s="160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</row>
    <row r="735">
      <c r="A735" s="101"/>
      <c r="B735" s="160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</row>
    <row r="736">
      <c r="A736" s="101"/>
      <c r="B736" s="160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</row>
    <row r="737">
      <c r="A737" s="101"/>
      <c r="B737" s="160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</row>
    <row r="738">
      <c r="A738" s="101"/>
      <c r="B738" s="160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</row>
    <row r="739">
      <c r="A739" s="101"/>
      <c r="B739" s="160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</row>
    <row r="740">
      <c r="A740" s="101"/>
      <c r="B740" s="160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</row>
    <row r="741">
      <c r="A741" s="101"/>
      <c r="B741" s="160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</row>
    <row r="742">
      <c r="A742" s="101"/>
      <c r="B742" s="160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</row>
    <row r="743">
      <c r="A743" s="101"/>
      <c r="B743" s="160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</row>
    <row r="744">
      <c r="A744" s="101"/>
      <c r="B744" s="160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</row>
    <row r="745">
      <c r="A745" s="101"/>
      <c r="B745" s="160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</row>
    <row r="746">
      <c r="A746" s="101"/>
      <c r="B746" s="160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</row>
    <row r="747">
      <c r="A747" s="101"/>
      <c r="B747" s="160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</row>
    <row r="748">
      <c r="A748" s="101"/>
      <c r="B748" s="160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</row>
    <row r="749">
      <c r="A749" s="101"/>
      <c r="B749" s="160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</row>
    <row r="750">
      <c r="A750" s="101"/>
      <c r="B750" s="160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</row>
    <row r="751">
      <c r="A751" s="101"/>
      <c r="B751" s="160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</row>
    <row r="752">
      <c r="A752" s="101"/>
      <c r="B752" s="160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</row>
    <row r="753">
      <c r="A753" s="101"/>
      <c r="B753" s="160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</row>
    <row r="754">
      <c r="A754" s="101"/>
      <c r="B754" s="160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</row>
    <row r="755">
      <c r="A755" s="101"/>
      <c r="B755" s="160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</row>
    <row r="756">
      <c r="A756" s="101"/>
      <c r="B756" s="160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</row>
    <row r="757">
      <c r="A757" s="101"/>
      <c r="B757" s="160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</row>
    <row r="758">
      <c r="A758" s="101"/>
      <c r="B758" s="160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</row>
    <row r="759">
      <c r="A759" s="101"/>
      <c r="B759" s="160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</row>
    <row r="760">
      <c r="A760" s="101"/>
      <c r="B760" s="160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</row>
    <row r="761">
      <c r="A761" s="101"/>
      <c r="B761" s="160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</row>
    <row r="762">
      <c r="A762" s="101"/>
      <c r="B762" s="160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</row>
    <row r="763">
      <c r="A763" s="101"/>
      <c r="B763" s="160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</row>
    <row r="764">
      <c r="A764" s="101"/>
      <c r="B764" s="160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</row>
    <row r="765">
      <c r="A765" s="101"/>
      <c r="B765" s="160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</row>
    <row r="766">
      <c r="A766" s="101"/>
      <c r="B766" s="160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</row>
    <row r="767">
      <c r="A767" s="101"/>
      <c r="B767" s="160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</row>
    <row r="768">
      <c r="A768" s="101"/>
      <c r="B768" s="160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</row>
    <row r="769">
      <c r="A769" s="101"/>
      <c r="B769" s="160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</row>
    <row r="770">
      <c r="A770" s="101"/>
      <c r="B770" s="160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</row>
    <row r="771">
      <c r="A771" s="101"/>
      <c r="B771" s="160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</row>
    <row r="772">
      <c r="A772" s="101"/>
      <c r="B772" s="160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</row>
    <row r="773">
      <c r="A773" s="101"/>
      <c r="B773" s="160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</row>
    <row r="774">
      <c r="A774" s="101"/>
      <c r="B774" s="160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</row>
    <row r="775">
      <c r="A775" s="101"/>
      <c r="B775" s="160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</row>
    <row r="776">
      <c r="A776" s="101"/>
      <c r="B776" s="160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</row>
    <row r="777">
      <c r="A777" s="101"/>
      <c r="B777" s="160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</row>
    <row r="778">
      <c r="A778" s="101"/>
      <c r="B778" s="160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</row>
    <row r="779">
      <c r="A779" s="101"/>
      <c r="B779" s="160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</row>
    <row r="780">
      <c r="A780" s="101"/>
      <c r="B780" s="160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</row>
    <row r="781">
      <c r="A781" s="101"/>
      <c r="B781" s="160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</row>
    <row r="782">
      <c r="A782" s="101"/>
      <c r="B782" s="160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</row>
    <row r="783">
      <c r="A783" s="101"/>
      <c r="B783" s="160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</row>
    <row r="784">
      <c r="A784" s="101"/>
      <c r="B784" s="160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</row>
    <row r="785">
      <c r="A785" s="101"/>
      <c r="B785" s="160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</row>
    <row r="786">
      <c r="A786" s="101"/>
      <c r="B786" s="160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</row>
    <row r="787">
      <c r="A787" s="101"/>
      <c r="B787" s="160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</row>
    <row r="788">
      <c r="A788" s="101"/>
      <c r="B788" s="160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</row>
    <row r="789">
      <c r="A789" s="101"/>
      <c r="B789" s="160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</row>
    <row r="790">
      <c r="A790" s="101"/>
      <c r="B790" s="160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</row>
    <row r="791">
      <c r="A791" s="101"/>
      <c r="B791" s="160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</row>
    <row r="792">
      <c r="A792" s="101"/>
      <c r="B792" s="160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</row>
    <row r="793">
      <c r="A793" s="101"/>
      <c r="B793" s="160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</row>
    <row r="794">
      <c r="A794" s="101"/>
      <c r="B794" s="160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</row>
    <row r="795">
      <c r="A795" s="101"/>
      <c r="B795" s="160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</row>
    <row r="796">
      <c r="A796" s="101"/>
      <c r="B796" s="160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</row>
    <row r="797">
      <c r="A797" s="101"/>
      <c r="B797" s="160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</row>
    <row r="798">
      <c r="A798" s="101"/>
      <c r="B798" s="160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</row>
    <row r="799">
      <c r="A799" s="101"/>
      <c r="B799" s="160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</row>
    <row r="800">
      <c r="A800" s="101"/>
      <c r="B800" s="160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</row>
    <row r="801">
      <c r="A801" s="101"/>
      <c r="B801" s="160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</row>
    <row r="802">
      <c r="A802" s="101"/>
      <c r="B802" s="160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</row>
    <row r="803">
      <c r="A803" s="101"/>
      <c r="B803" s="160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</row>
    <row r="804">
      <c r="A804" s="101"/>
      <c r="B804" s="160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</row>
    <row r="805">
      <c r="A805" s="101"/>
      <c r="B805" s="160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</row>
    <row r="806">
      <c r="A806" s="101"/>
      <c r="B806" s="160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</row>
    <row r="807">
      <c r="A807" s="101"/>
      <c r="B807" s="160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</row>
    <row r="808">
      <c r="A808" s="101"/>
      <c r="B808" s="160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</row>
    <row r="809">
      <c r="A809" s="101"/>
      <c r="B809" s="160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</row>
    <row r="810">
      <c r="A810" s="101"/>
      <c r="B810" s="160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</row>
    <row r="811">
      <c r="A811" s="101"/>
      <c r="B811" s="160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</row>
    <row r="812">
      <c r="A812" s="101"/>
      <c r="B812" s="160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</row>
    <row r="813">
      <c r="A813" s="101"/>
      <c r="B813" s="160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</row>
    <row r="814">
      <c r="A814" s="101"/>
      <c r="B814" s="160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</row>
    <row r="815">
      <c r="A815" s="101"/>
      <c r="B815" s="160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</row>
    <row r="816">
      <c r="A816" s="101"/>
      <c r="B816" s="160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</row>
    <row r="817">
      <c r="A817" s="101"/>
      <c r="B817" s="160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</row>
    <row r="818">
      <c r="A818" s="101"/>
      <c r="B818" s="160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</row>
    <row r="819">
      <c r="A819" s="101"/>
      <c r="B819" s="160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</row>
    <row r="820">
      <c r="A820" s="101"/>
      <c r="B820" s="160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</row>
    <row r="821">
      <c r="A821" s="101"/>
      <c r="B821" s="160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</row>
    <row r="822">
      <c r="A822" s="101"/>
      <c r="B822" s="160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</row>
    <row r="823">
      <c r="A823" s="101"/>
      <c r="B823" s="160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</row>
    <row r="824">
      <c r="A824" s="101"/>
      <c r="B824" s="160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</row>
    <row r="825">
      <c r="A825" s="101"/>
      <c r="B825" s="160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</row>
    <row r="826">
      <c r="A826" s="101"/>
      <c r="B826" s="160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</row>
    <row r="827">
      <c r="A827" s="101"/>
      <c r="B827" s="160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</row>
    <row r="828">
      <c r="A828" s="101"/>
      <c r="B828" s="160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</row>
    <row r="829">
      <c r="A829" s="101"/>
      <c r="B829" s="160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</row>
    <row r="830">
      <c r="A830" s="101"/>
      <c r="B830" s="160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</row>
    <row r="831">
      <c r="A831" s="101"/>
      <c r="B831" s="160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</row>
    <row r="832">
      <c r="A832" s="101"/>
      <c r="B832" s="160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</row>
    <row r="833">
      <c r="A833" s="101"/>
      <c r="B833" s="160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</row>
    <row r="834">
      <c r="A834" s="101"/>
      <c r="B834" s="160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</row>
    <row r="835">
      <c r="A835" s="101"/>
      <c r="B835" s="160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</row>
    <row r="836">
      <c r="A836" s="101"/>
      <c r="B836" s="160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</row>
    <row r="837">
      <c r="A837" s="101"/>
      <c r="B837" s="160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</row>
    <row r="838">
      <c r="A838" s="101"/>
      <c r="B838" s="160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</row>
    <row r="839">
      <c r="A839" s="101"/>
      <c r="B839" s="160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</row>
    <row r="840">
      <c r="A840" s="101"/>
      <c r="B840" s="160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</row>
    <row r="841">
      <c r="A841" s="101"/>
      <c r="B841" s="160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</row>
    <row r="842">
      <c r="A842" s="101"/>
      <c r="B842" s="160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</row>
    <row r="843">
      <c r="A843" s="101"/>
      <c r="B843" s="160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</row>
    <row r="844">
      <c r="A844" s="101"/>
      <c r="B844" s="160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</row>
    <row r="845">
      <c r="A845" s="101"/>
      <c r="B845" s="160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</row>
    <row r="846">
      <c r="A846" s="101"/>
      <c r="B846" s="160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</row>
    <row r="847">
      <c r="A847" s="101"/>
      <c r="B847" s="160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</row>
    <row r="848">
      <c r="A848" s="101"/>
      <c r="B848" s="160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</row>
    <row r="849">
      <c r="A849" s="101"/>
      <c r="B849" s="160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</row>
    <row r="850">
      <c r="A850" s="101"/>
      <c r="B850" s="160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</row>
    <row r="851">
      <c r="A851" s="101"/>
      <c r="B851" s="160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</row>
    <row r="852">
      <c r="A852" s="101"/>
      <c r="B852" s="160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</row>
    <row r="853">
      <c r="A853" s="101"/>
      <c r="B853" s="160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</row>
    <row r="854">
      <c r="A854" s="101"/>
      <c r="B854" s="160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</row>
    <row r="855">
      <c r="A855" s="101"/>
      <c r="B855" s="160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</row>
    <row r="856">
      <c r="A856" s="101"/>
      <c r="B856" s="160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</row>
    <row r="857">
      <c r="A857" s="101"/>
      <c r="B857" s="160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</row>
    <row r="858">
      <c r="A858" s="101"/>
      <c r="B858" s="160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</row>
    <row r="859">
      <c r="A859" s="101"/>
      <c r="B859" s="160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</row>
    <row r="860">
      <c r="A860" s="101"/>
      <c r="B860" s="160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</row>
    <row r="861">
      <c r="A861" s="101"/>
      <c r="B861" s="160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</row>
    <row r="862">
      <c r="A862" s="101"/>
      <c r="B862" s="160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</row>
    <row r="863">
      <c r="A863" s="101"/>
      <c r="B863" s="160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</row>
    <row r="864">
      <c r="A864" s="101"/>
      <c r="B864" s="160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</row>
    <row r="865">
      <c r="A865" s="101"/>
      <c r="B865" s="160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</row>
    <row r="866">
      <c r="A866" s="101"/>
      <c r="B866" s="160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</row>
    <row r="867">
      <c r="A867" s="101"/>
      <c r="B867" s="160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</row>
    <row r="868">
      <c r="A868" s="101"/>
      <c r="B868" s="160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</row>
    <row r="869">
      <c r="A869" s="101"/>
      <c r="B869" s="160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</row>
    <row r="870">
      <c r="A870" s="101"/>
      <c r="B870" s="160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</row>
    <row r="871">
      <c r="A871" s="101"/>
      <c r="B871" s="160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</row>
    <row r="872">
      <c r="A872" s="101"/>
      <c r="B872" s="160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</row>
    <row r="873">
      <c r="A873" s="101"/>
      <c r="B873" s="160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</row>
    <row r="874">
      <c r="A874" s="101"/>
      <c r="B874" s="160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</row>
    <row r="875">
      <c r="A875" s="101"/>
      <c r="B875" s="160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</row>
    <row r="876">
      <c r="A876" s="101"/>
      <c r="B876" s="160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</row>
    <row r="877">
      <c r="A877" s="101"/>
      <c r="B877" s="160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</row>
    <row r="878">
      <c r="A878" s="101"/>
      <c r="B878" s="160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</row>
    <row r="879">
      <c r="A879" s="101"/>
      <c r="B879" s="160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</row>
    <row r="880">
      <c r="A880" s="101"/>
      <c r="B880" s="160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</row>
    <row r="881">
      <c r="A881" s="101"/>
      <c r="B881" s="160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</row>
    <row r="882">
      <c r="A882" s="101"/>
      <c r="B882" s="160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</row>
    <row r="883">
      <c r="A883" s="101"/>
      <c r="B883" s="160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</row>
    <row r="884">
      <c r="A884" s="101"/>
      <c r="B884" s="160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</row>
    <row r="885">
      <c r="A885" s="101"/>
      <c r="B885" s="160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</row>
    <row r="886">
      <c r="A886" s="101"/>
      <c r="B886" s="160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</row>
    <row r="887">
      <c r="A887" s="101"/>
      <c r="B887" s="160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</row>
    <row r="888">
      <c r="A888" s="101"/>
      <c r="B888" s="160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</row>
    <row r="889">
      <c r="A889" s="101"/>
      <c r="B889" s="160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</row>
    <row r="890">
      <c r="A890" s="101"/>
      <c r="B890" s="160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</row>
    <row r="891">
      <c r="A891" s="101"/>
      <c r="B891" s="160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</row>
    <row r="892">
      <c r="A892" s="101"/>
      <c r="B892" s="160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</row>
    <row r="893">
      <c r="A893" s="101"/>
      <c r="B893" s="160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</row>
    <row r="894">
      <c r="A894" s="101"/>
      <c r="B894" s="160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</row>
    <row r="895">
      <c r="A895" s="101"/>
      <c r="B895" s="160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</row>
    <row r="896">
      <c r="A896" s="101"/>
      <c r="B896" s="160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</row>
    <row r="897">
      <c r="A897" s="101"/>
      <c r="B897" s="160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</row>
    <row r="898">
      <c r="A898" s="101"/>
      <c r="B898" s="160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</row>
    <row r="899">
      <c r="A899" s="101"/>
      <c r="B899" s="160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</row>
    <row r="900">
      <c r="A900" s="101"/>
      <c r="B900" s="160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</row>
    <row r="901">
      <c r="A901" s="101"/>
      <c r="B901" s="160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</row>
    <row r="902">
      <c r="A902" s="101"/>
      <c r="B902" s="160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</row>
    <row r="903">
      <c r="A903" s="101"/>
      <c r="B903" s="160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</row>
    <row r="904">
      <c r="A904" s="101"/>
      <c r="B904" s="160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</row>
    <row r="905">
      <c r="A905" s="101"/>
      <c r="B905" s="160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</row>
    <row r="906">
      <c r="A906" s="101"/>
      <c r="B906" s="160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</row>
    <row r="907">
      <c r="A907" s="101"/>
      <c r="B907" s="160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</row>
    <row r="908">
      <c r="A908" s="101"/>
      <c r="B908" s="160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</row>
    <row r="909">
      <c r="A909" s="101"/>
      <c r="B909" s="160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</row>
    <row r="910">
      <c r="A910" s="101"/>
      <c r="B910" s="160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</row>
    <row r="911">
      <c r="A911" s="101"/>
      <c r="B911" s="160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</row>
    <row r="912">
      <c r="A912" s="101"/>
      <c r="B912" s="160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</row>
    <row r="913">
      <c r="A913" s="101"/>
      <c r="B913" s="160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</row>
    <row r="914">
      <c r="A914" s="101"/>
      <c r="B914" s="160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</row>
    <row r="915">
      <c r="A915" s="101"/>
      <c r="B915" s="160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</row>
    <row r="916">
      <c r="A916" s="101"/>
      <c r="B916" s="160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</row>
    <row r="917">
      <c r="A917" s="101"/>
      <c r="B917" s="160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</row>
    <row r="918">
      <c r="A918" s="101"/>
      <c r="B918" s="160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</row>
    <row r="919">
      <c r="A919" s="101"/>
      <c r="B919" s="160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</row>
    <row r="920">
      <c r="A920" s="101"/>
      <c r="B920" s="160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</row>
    <row r="921">
      <c r="A921" s="101"/>
      <c r="B921" s="160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</row>
    <row r="922">
      <c r="A922" s="101"/>
      <c r="B922" s="160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</row>
    <row r="923">
      <c r="A923" s="101"/>
      <c r="B923" s="160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</row>
    <row r="924">
      <c r="A924" s="101"/>
      <c r="B924" s="160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</row>
    <row r="925">
      <c r="A925" s="101"/>
      <c r="B925" s="160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</row>
    <row r="926">
      <c r="A926" s="101"/>
      <c r="B926" s="160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</row>
    <row r="927">
      <c r="A927" s="101"/>
      <c r="B927" s="160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</row>
    <row r="928">
      <c r="A928" s="101"/>
      <c r="B928" s="160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</row>
    <row r="929">
      <c r="A929" s="101"/>
      <c r="B929" s="160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</row>
    <row r="930">
      <c r="A930" s="101"/>
      <c r="B930" s="160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</row>
    <row r="931">
      <c r="A931" s="101"/>
      <c r="B931" s="160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</row>
    <row r="932">
      <c r="A932" s="101"/>
      <c r="B932" s="160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</row>
    <row r="933">
      <c r="A933" s="101"/>
      <c r="B933" s="160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</row>
    <row r="934">
      <c r="A934" s="101"/>
      <c r="B934" s="160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</row>
    <row r="935">
      <c r="A935" s="101"/>
      <c r="B935" s="160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</row>
    <row r="936">
      <c r="A936" s="101"/>
      <c r="B936" s="160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</row>
    <row r="937">
      <c r="A937" s="101"/>
      <c r="B937" s="160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</row>
    <row r="938">
      <c r="A938" s="101"/>
      <c r="B938" s="160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</row>
    <row r="939">
      <c r="A939" s="101"/>
      <c r="B939" s="160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</row>
    <row r="940">
      <c r="A940" s="101"/>
      <c r="B940" s="160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</row>
    <row r="941">
      <c r="A941" s="101"/>
      <c r="B941" s="160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</row>
    <row r="942">
      <c r="A942" s="101"/>
      <c r="B942" s="160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</row>
    <row r="943">
      <c r="A943" s="101"/>
      <c r="B943" s="160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</row>
    <row r="944">
      <c r="A944" s="101"/>
      <c r="B944" s="160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</row>
    <row r="945">
      <c r="A945" s="101"/>
      <c r="B945" s="160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</row>
    <row r="946">
      <c r="A946" s="101"/>
      <c r="B946" s="160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</row>
    <row r="947">
      <c r="A947" s="101"/>
      <c r="B947" s="160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</row>
    <row r="948">
      <c r="A948" s="101"/>
      <c r="B948" s="160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</row>
    <row r="949">
      <c r="A949" s="101"/>
      <c r="B949" s="160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</row>
    <row r="950">
      <c r="A950" s="101"/>
      <c r="B950" s="160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</row>
    <row r="951">
      <c r="A951" s="101"/>
      <c r="B951" s="160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</row>
    <row r="952">
      <c r="A952" s="101"/>
      <c r="B952" s="160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</row>
    <row r="953">
      <c r="A953" s="101"/>
      <c r="B953" s="160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</row>
    <row r="954">
      <c r="A954" s="101"/>
      <c r="B954" s="160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</row>
    <row r="955">
      <c r="A955" s="101"/>
      <c r="B955" s="160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</row>
    <row r="956">
      <c r="A956" s="101"/>
      <c r="B956" s="160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</row>
    <row r="957">
      <c r="A957" s="101"/>
      <c r="B957" s="160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</row>
    <row r="958">
      <c r="A958" s="101"/>
      <c r="B958" s="160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</row>
    <row r="959">
      <c r="A959" s="101"/>
      <c r="B959" s="160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</row>
    <row r="960">
      <c r="A960" s="101"/>
      <c r="B960" s="160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</row>
    <row r="961">
      <c r="A961" s="101"/>
      <c r="B961" s="160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</row>
    <row r="962">
      <c r="A962" s="101"/>
      <c r="B962" s="160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</row>
    <row r="963">
      <c r="A963" s="101"/>
      <c r="B963" s="160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</row>
    <row r="964">
      <c r="A964" s="101"/>
      <c r="B964" s="160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</row>
    <row r="965">
      <c r="A965" s="101"/>
      <c r="B965" s="160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</row>
    <row r="966">
      <c r="A966" s="101"/>
      <c r="B966" s="160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</row>
    <row r="967">
      <c r="A967" s="101"/>
      <c r="B967" s="160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</row>
    <row r="968">
      <c r="A968" s="101"/>
      <c r="B968" s="160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</row>
    <row r="969">
      <c r="A969" s="101"/>
      <c r="B969" s="160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</row>
    <row r="970">
      <c r="A970" s="101"/>
      <c r="B970" s="160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</row>
    <row r="971">
      <c r="A971" s="101"/>
      <c r="B971" s="160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</row>
    <row r="972">
      <c r="A972" s="101"/>
      <c r="B972" s="160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</row>
    <row r="973">
      <c r="A973" s="101"/>
      <c r="B973" s="160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</row>
    <row r="974">
      <c r="A974" s="101"/>
      <c r="B974" s="160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</row>
    <row r="975">
      <c r="A975" s="101"/>
      <c r="B975" s="160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</row>
    <row r="976">
      <c r="A976" s="101"/>
      <c r="B976" s="160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</row>
    <row r="977">
      <c r="A977" s="101"/>
      <c r="B977" s="160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</row>
    <row r="978">
      <c r="A978" s="101"/>
      <c r="B978" s="160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</row>
    <row r="979">
      <c r="A979" s="101"/>
      <c r="B979" s="160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</row>
    <row r="980">
      <c r="A980" s="101"/>
      <c r="B980" s="160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</row>
    <row r="981">
      <c r="A981" s="101"/>
      <c r="B981" s="160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</row>
    <row r="982">
      <c r="A982" s="101"/>
      <c r="B982" s="160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</row>
    <row r="983">
      <c r="A983" s="101"/>
      <c r="B983" s="160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</row>
    <row r="984">
      <c r="A984" s="101"/>
      <c r="B984" s="160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</row>
    <row r="985">
      <c r="A985" s="101"/>
      <c r="B985" s="160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</row>
    <row r="986">
      <c r="A986" s="101"/>
      <c r="B986" s="160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</row>
    <row r="987">
      <c r="A987" s="101"/>
      <c r="B987" s="160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</row>
    <row r="988">
      <c r="A988" s="101"/>
      <c r="B988" s="160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</row>
    <row r="989">
      <c r="A989" s="101"/>
      <c r="B989" s="160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</row>
    <row r="990">
      <c r="A990" s="101"/>
      <c r="B990" s="160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</row>
    <row r="991">
      <c r="A991" s="101"/>
      <c r="B991" s="160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</row>
    <row r="992">
      <c r="A992" s="101"/>
      <c r="B992" s="160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</row>
    <row r="993">
      <c r="A993" s="101"/>
      <c r="B993" s="160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</row>
    <row r="994">
      <c r="A994" s="101"/>
      <c r="B994" s="160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</row>
    <row r="995">
      <c r="A995" s="101"/>
      <c r="B995" s="160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</row>
    <row r="996">
      <c r="A996" s="101"/>
      <c r="B996" s="160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</row>
    <row r="997">
      <c r="A997" s="101"/>
      <c r="B997" s="160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</row>
    <row r="998">
      <c r="A998" s="101"/>
      <c r="B998" s="160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</row>
    <row r="999">
      <c r="A999" s="101"/>
      <c r="B999" s="160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</row>
    <row r="1000">
      <c r="A1000" s="101"/>
      <c r="B1000" s="160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</row>
    <row r="1001">
      <c r="A1001" s="101"/>
      <c r="B1001" s="160"/>
      <c r="C1001" s="101"/>
      <c r="D1001" s="101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</row>
    <row r="1002">
      <c r="A1002" s="101"/>
      <c r="B1002" s="160"/>
      <c r="C1002" s="101"/>
      <c r="D1002" s="101"/>
      <c r="E1002" s="101"/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</row>
    <row r="1003">
      <c r="A1003" s="101"/>
      <c r="B1003" s="160"/>
      <c r="C1003" s="101"/>
      <c r="D1003" s="101"/>
      <c r="E1003" s="101"/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</row>
    <row r="1004">
      <c r="A1004" s="101"/>
      <c r="B1004" s="160"/>
      <c r="C1004" s="101"/>
      <c r="D1004" s="101"/>
      <c r="E1004" s="101"/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</row>
    <row r="1005">
      <c r="A1005" s="101"/>
      <c r="B1005" s="160"/>
      <c r="C1005" s="101"/>
      <c r="D1005" s="101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</row>
    <row r="1006">
      <c r="A1006" s="101"/>
      <c r="B1006" s="160"/>
      <c r="C1006" s="101"/>
      <c r="D1006" s="101"/>
      <c r="E1006" s="101"/>
      <c r="F1006" s="101"/>
      <c r="G1006" s="10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</row>
    <row r="1007">
      <c r="A1007" s="101"/>
      <c r="B1007" s="160"/>
      <c r="C1007" s="101"/>
      <c r="D1007" s="101"/>
      <c r="E1007" s="101"/>
      <c r="F1007" s="101"/>
      <c r="G1007" s="10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</row>
    <row r="1008">
      <c r="A1008" s="101"/>
      <c r="B1008" s="160"/>
      <c r="C1008" s="101"/>
      <c r="D1008" s="101"/>
      <c r="E1008" s="101"/>
      <c r="F1008" s="101"/>
      <c r="G1008" s="10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</row>
  </sheetData>
  <mergeCells count="4">
    <mergeCell ref="A39:B39"/>
    <mergeCell ref="B1:Q1"/>
    <mergeCell ref="B17:Q17"/>
    <mergeCell ref="B29:Q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3.57"/>
  </cols>
  <sheetData>
    <row r="1">
      <c r="B1" s="2" t="s">
        <v>107</v>
      </c>
    </row>
    <row r="3">
      <c r="D3" s="119" t="s">
        <v>108</v>
      </c>
      <c r="E3" s="119" t="s">
        <v>109</v>
      </c>
      <c r="F3" s="119" t="s">
        <v>110</v>
      </c>
      <c r="G3" s="119" t="s">
        <v>111</v>
      </c>
      <c r="H3" s="119" t="s">
        <v>112</v>
      </c>
      <c r="I3" s="119" t="s">
        <v>113</v>
      </c>
      <c r="J3" s="119" t="s">
        <v>114</v>
      </c>
      <c r="K3" s="119" t="s">
        <v>115</v>
      </c>
      <c r="L3" s="120" t="s">
        <v>116</v>
      </c>
      <c r="M3" s="120" t="s">
        <v>117</v>
      </c>
      <c r="N3" s="120" t="s">
        <v>118</v>
      </c>
      <c r="O3" s="120" t="s">
        <v>119</v>
      </c>
      <c r="P3" s="120" t="s">
        <v>120</v>
      </c>
      <c r="Q3" s="120" t="s">
        <v>121</v>
      </c>
    </row>
    <row r="4">
      <c r="D4" s="119" t="s">
        <v>122</v>
      </c>
      <c r="E4" s="119" t="s">
        <v>123</v>
      </c>
      <c r="F4" s="119" t="s">
        <v>124</v>
      </c>
      <c r="G4" s="119" t="s">
        <v>125</v>
      </c>
      <c r="H4" s="119" t="s">
        <v>126</v>
      </c>
      <c r="I4" s="119" t="s">
        <v>127</v>
      </c>
      <c r="J4" s="119" t="s">
        <v>128</v>
      </c>
      <c r="K4" s="119" t="s">
        <v>129</v>
      </c>
      <c r="L4" s="120" t="s">
        <v>130</v>
      </c>
      <c r="M4" s="120" t="s">
        <v>131</v>
      </c>
      <c r="N4" s="120" t="s">
        <v>132</v>
      </c>
      <c r="O4" s="120" t="s">
        <v>133</v>
      </c>
      <c r="P4" s="120" t="s">
        <v>134</v>
      </c>
      <c r="Q4" s="120" t="s">
        <v>135</v>
      </c>
    </row>
    <row r="5">
      <c r="C5" s="119" t="s">
        <v>136</v>
      </c>
      <c r="D5" s="119" t="s">
        <v>137</v>
      </c>
      <c r="E5" s="119" t="s">
        <v>138</v>
      </c>
      <c r="F5" s="119" t="s">
        <v>139</v>
      </c>
      <c r="G5" s="119" t="s">
        <v>140</v>
      </c>
      <c r="H5" s="119" t="s">
        <v>141</v>
      </c>
      <c r="I5" s="119" t="s">
        <v>142</v>
      </c>
      <c r="J5" s="119" t="s">
        <v>143</v>
      </c>
      <c r="K5" s="119" t="s">
        <v>144</v>
      </c>
      <c r="L5" s="120" t="s">
        <v>145</v>
      </c>
      <c r="M5" s="120" t="s">
        <v>146</v>
      </c>
      <c r="N5" s="120" t="s">
        <v>147</v>
      </c>
      <c r="O5" s="120" t="s">
        <v>148</v>
      </c>
      <c r="P5" s="120" t="s">
        <v>149</v>
      </c>
      <c r="Q5" s="120" t="s">
        <v>150</v>
      </c>
    </row>
    <row r="6">
      <c r="C6" s="119" t="s">
        <v>151</v>
      </c>
      <c r="D6" s="119" t="s">
        <v>152</v>
      </c>
      <c r="E6" s="119" t="s">
        <v>153</v>
      </c>
      <c r="F6" s="119" t="s">
        <v>154</v>
      </c>
      <c r="G6" s="119" t="s">
        <v>155</v>
      </c>
      <c r="H6" s="119" t="s">
        <v>156</v>
      </c>
      <c r="I6" s="119" t="s">
        <v>157</v>
      </c>
      <c r="J6" s="119" t="s">
        <v>158</v>
      </c>
      <c r="K6" s="119" t="s">
        <v>159</v>
      </c>
      <c r="L6" s="120" t="s">
        <v>160</v>
      </c>
      <c r="M6" s="120" t="s">
        <v>161</v>
      </c>
      <c r="N6" s="120" t="s">
        <v>162</v>
      </c>
      <c r="O6" s="120" t="s">
        <v>163</v>
      </c>
      <c r="P6" s="120" t="s">
        <v>164</v>
      </c>
      <c r="Q6" s="120" t="s">
        <v>165</v>
      </c>
    </row>
    <row r="8">
      <c r="E8" s="2" t="s">
        <v>166</v>
      </c>
      <c r="J8" s="122" t="s">
        <v>167</v>
      </c>
      <c r="K8" s="122" t="s">
        <v>168</v>
      </c>
      <c r="L8" s="122" t="s">
        <v>169</v>
      </c>
      <c r="M8" s="122" t="s">
        <v>170</v>
      </c>
      <c r="N8" s="123" t="s">
        <v>171</v>
      </c>
      <c r="O8" s="123" t="s">
        <v>172</v>
      </c>
      <c r="P8" s="123" t="s">
        <v>173</v>
      </c>
      <c r="Q8" s="123" t="s">
        <v>174</v>
      </c>
    </row>
    <row r="9">
      <c r="J9" s="122" t="s">
        <v>175</v>
      </c>
      <c r="K9" s="122" t="s">
        <v>176</v>
      </c>
      <c r="L9" s="122" t="s">
        <v>177</v>
      </c>
      <c r="M9" s="122" t="s">
        <v>178</v>
      </c>
      <c r="N9" s="123" t="s">
        <v>179</v>
      </c>
      <c r="O9" s="123" t="s">
        <v>180</v>
      </c>
      <c r="P9" s="123" t="s">
        <v>181</v>
      </c>
      <c r="Q9" s="123" t="s">
        <v>182</v>
      </c>
      <c r="S9" s="125"/>
      <c r="T9" s="125"/>
      <c r="U9" s="125"/>
      <c r="V9" s="125"/>
    </row>
    <row r="10">
      <c r="B10" s="120">
        <v>24.0</v>
      </c>
      <c r="C10" s="2" t="s">
        <v>183</v>
      </c>
      <c r="J10" s="122" t="s">
        <v>184</v>
      </c>
      <c r="K10" s="122" t="s">
        <v>185</v>
      </c>
      <c r="L10" s="122" t="s">
        <v>186</v>
      </c>
      <c r="M10" s="122" t="s">
        <v>187</v>
      </c>
      <c r="N10" s="123" t="s">
        <v>188</v>
      </c>
      <c r="O10" s="123" t="s">
        <v>189</v>
      </c>
      <c r="P10" s="123" t="s">
        <v>190</v>
      </c>
      <c r="Q10" s="123" t="s">
        <v>191</v>
      </c>
      <c r="S10" s="125"/>
      <c r="T10" s="125"/>
      <c r="U10" s="125"/>
      <c r="V10" s="125"/>
    </row>
    <row r="11">
      <c r="B11" s="119">
        <v>34.0</v>
      </c>
      <c r="C11" s="2" t="s">
        <v>192</v>
      </c>
      <c r="S11" s="125"/>
      <c r="T11" s="125"/>
      <c r="U11" s="125"/>
      <c r="V11" s="125"/>
    </row>
    <row r="12">
      <c r="B12">
        <f>sum(B10:B11)</f>
        <v>58</v>
      </c>
      <c r="C12" s="2" t="s">
        <v>193</v>
      </c>
      <c r="J12" s="122" t="s">
        <v>194</v>
      </c>
      <c r="K12" s="122" t="s">
        <v>195</v>
      </c>
      <c r="L12" s="122" t="s">
        <v>196</v>
      </c>
      <c r="M12" s="122" t="s">
        <v>197</v>
      </c>
      <c r="N12" s="123" t="s">
        <v>198</v>
      </c>
      <c r="O12" s="123" t="s">
        <v>199</v>
      </c>
      <c r="P12" s="123" t="s">
        <v>200</v>
      </c>
      <c r="Q12" s="123" t="s">
        <v>201</v>
      </c>
      <c r="S12" s="125"/>
      <c r="T12" s="125"/>
      <c r="U12" s="125"/>
      <c r="V12" s="125"/>
    </row>
    <row r="13">
      <c r="J13" s="122" t="s">
        <v>202</v>
      </c>
      <c r="K13" s="122" t="s">
        <v>203</v>
      </c>
      <c r="L13" s="127" t="s">
        <v>204</v>
      </c>
      <c r="M13" s="122" t="s">
        <v>205</v>
      </c>
      <c r="N13" s="123" t="s">
        <v>206</v>
      </c>
      <c r="O13" s="123" t="s">
        <v>207</v>
      </c>
      <c r="P13" s="123" t="s">
        <v>208</v>
      </c>
      <c r="Q13" s="123" t="s">
        <v>209</v>
      </c>
      <c r="S13" s="125"/>
      <c r="T13" s="128" t="s">
        <v>210</v>
      </c>
      <c r="U13" s="125"/>
      <c r="V13" s="125"/>
    </row>
    <row r="14">
      <c r="B14" s="129">
        <v>40.0</v>
      </c>
      <c r="C14" s="2" t="s">
        <v>211</v>
      </c>
      <c r="J14" s="122" t="s">
        <v>212</v>
      </c>
      <c r="K14" s="122" t="s">
        <v>213</v>
      </c>
      <c r="L14" s="122" t="s">
        <v>214</v>
      </c>
      <c r="M14" s="122" t="s">
        <v>215</v>
      </c>
      <c r="N14" s="123" t="s">
        <v>216</v>
      </c>
      <c r="O14" s="123" t="s">
        <v>217</v>
      </c>
      <c r="P14" s="123" t="s">
        <v>218</v>
      </c>
      <c r="Q14" s="123" t="s">
        <v>219</v>
      </c>
      <c r="S14" s="125"/>
      <c r="T14" s="125"/>
      <c r="U14" s="125"/>
      <c r="V14" s="125"/>
    </row>
    <row r="15">
      <c r="B15" s="122">
        <v>40.0</v>
      </c>
      <c r="C15" s="2" t="s">
        <v>220</v>
      </c>
      <c r="J15" s="122" t="s">
        <v>221</v>
      </c>
      <c r="K15" s="122" t="s">
        <v>222</v>
      </c>
      <c r="L15" s="122" t="s">
        <v>223</v>
      </c>
      <c r="M15" s="122" t="s">
        <v>224</v>
      </c>
      <c r="N15" s="123" t="s">
        <v>225</v>
      </c>
      <c r="O15" s="123" t="s">
        <v>226</v>
      </c>
      <c r="P15" s="123" t="s">
        <v>227</v>
      </c>
      <c r="Q15" s="123" t="s">
        <v>228</v>
      </c>
      <c r="S15" s="125"/>
      <c r="T15" s="125"/>
      <c r="U15" s="125"/>
      <c r="V15" s="125"/>
    </row>
    <row r="16">
      <c r="B16">
        <f>B14+B15</f>
        <v>80</v>
      </c>
      <c r="C16" s="2" t="s">
        <v>193</v>
      </c>
      <c r="S16" s="125"/>
      <c r="T16" s="125"/>
      <c r="U16" s="125"/>
      <c r="V16" s="125"/>
    </row>
    <row r="17">
      <c r="J17" s="122" t="s">
        <v>229</v>
      </c>
      <c r="K17" s="122" t="s">
        <v>230</v>
      </c>
      <c r="L17" s="122" t="s">
        <v>231</v>
      </c>
      <c r="M17" s="122" t="s">
        <v>232</v>
      </c>
      <c r="N17" s="123" t="s">
        <v>233</v>
      </c>
      <c r="O17" s="123" t="s">
        <v>234</v>
      </c>
      <c r="P17" s="123" t="s">
        <v>235</v>
      </c>
      <c r="Q17" s="123" t="s">
        <v>236</v>
      </c>
      <c r="S17" s="125"/>
      <c r="T17" s="125"/>
      <c r="U17" s="125"/>
      <c r="V17" s="125"/>
    </row>
    <row r="18">
      <c r="J18" s="122" t="s">
        <v>237</v>
      </c>
      <c r="K18" s="122" t="s">
        <v>238</v>
      </c>
      <c r="L18" s="122" t="s">
        <v>239</v>
      </c>
      <c r="M18" s="122" t="s">
        <v>240</v>
      </c>
      <c r="N18" s="123" t="s">
        <v>241</v>
      </c>
      <c r="O18" s="123" t="s">
        <v>242</v>
      </c>
      <c r="P18" s="123" t="s">
        <v>243</v>
      </c>
      <c r="Q18" s="123" t="s">
        <v>244</v>
      </c>
    </row>
    <row r="19">
      <c r="J19" s="122" t="s">
        <v>245</v>
      </c>
      <c r="K19" s="122" t="s">
        <v>246</v>
      </c>
      <c r="L19" s="122" t="s">
        <v>247</v>
      </c>
      <c r="M19" s="122" t="s">
        <v>248</v>
      </c>
      <c r="N19" s="123" t="s">
        <v>249</v>
      </c>
      <c r="O19" s="123" t="s">
        <v>250</v>
      </c>
      <c r="P19" s="123" t="s">
        <v>251</v>
      </c>
      <c r="Q19" s="123" t="s">
        <v>252</v>
      </c>
    </row>
  </sheetData>
  <drawing r:id="rId1"/>
</worksheet>
</file>